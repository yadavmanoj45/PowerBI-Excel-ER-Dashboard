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DA\"/>
    </mc:Choice>
  </mc:AlternateContent>
  <xr:revisionPtr revIDLastSave="0" documentId="8_{D8FED4C7-137D-4F4F-BE99-22359A60EFD5}" xr6:coauthVersionLast="36" xr6:coauthVersionMax="36" xr10:uidLastSave="{00000000-0000-0000-0000-000000000000}"/>
  <bookViews>
    <workbookView xWindow="0" yWindow="0" windowWidth="23040" windowHeight="9588" firstSheet="2" activeTab="2" xr2:uid="{E57FAF0A-C131-4EF4-A999-3DB49066511E}"/>
  </bookViews>
  <sheets>
    <sheet name="Daily ER No of Patient" sheetId="4" r:id="rId1"/>
    <sheet name="Average Wait Time Daily Trend" sheetId="6" r:id="rId2"/>
    <sheet name="Dashboard" sheetId="3" r:id="rId3"/>
    <sheet name="Sheet2" sheetId="5" r:id="rId4"/>
    <sheet name=" Pivot Report" sheetId="1" r:id="rId5"/>
    <sheet name="Satisfaction Score Daily Trends" sheetId="7" r:id="rId6"/>
  </sheets>
  <definedNames>
    <definedName name="ExternalData_1" localSheetId="3" hidden="1">Sheet2!$A$3:$M$16</definedName>
    <definedName name="Slicer_Date__Month">#N/A</definedName>
    <definedName name="Slicer_Date__Year">#N/A</definedName>
  </definedNames>
  <calcPr calcId="191029"/>
  <pivotCaches>
    <pivotCache cacheId="5915" r:id="rId7"/>
    <pivotCache cacheId="5918" r:id="rId8"/>
    <pivotCache cacheId="5921" r:id="rId9"/>
    <pivotCache cacheId="5924" r:id="rId10"/>
    <pivotCache cacheId="5927" r:id="rId11"/>
    <pivotCache cacheId="5930" r:id="rId12"/>
    <pivotCache cacheId="5933" r:id="rId13"/>
    <pivotCache cacheId="5936" r:id="rId14"/>
    <pivotCache cacheId="5939" r:id="rId15"/>
    <pivotCache cacheId="5942" r:id="rId16"/>
    <pivotCache cacheId="5945" r:id="rId17"/>
    <pivotCache cacheId="5948" r:id="rId18"/>
  </pivotCaches>
  <extLst>
    <ext xmlns:x14="http://schemas.microsoft.com/office/spreadsheetml/2009/9/main" uri="{876F7934-8845-4945-9796-88D515C7AA90}">
      <x14:pivotCaches>
        <pivotCache cacheId="2797"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228c37b-0117-4c93-917d-5e18de558cb4" name="Hospital Emergency Room Data" connection="Query - Hospital Emergency Room Data"/>
          <x15:modelTable id="Calendar_Table_3f84ea05-d4e0-403c-b56a-65f764495c5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50" i="1" l="1"/>
  <c r="A49" i="1"/>
  <c r="C49" i="1"/>
  <c r="B49" i="1"/>
  <c r="B50" i="1"/>
  <c r="C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EFF2BD-3CB6-4557-96C7-6BB379726C98}" keepAlive="1" name="ModelConnection_ExternalData_11" description="Data Model" type="5" refreshedVersion="6" minRefreshableVersion="5" saveData="1">
    <dbPr connection="Data Model Connection" command="DRILLTHROUGH MAXROWS 1000 SELECT FROM [Model] WHERE (([Calendar_Table].[Date (Month)].&amp;[Feb],[Measures].[Average of Patient Waittime],[Calendar_Table].[Date (Day)].&amp;[1-Feb]))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F1E6F57A-7865-45E6-803C-17F05B4A689F}" name="Query - Calendar_Table" description="Connection to the 'Calendar_Table' query in the workbook." type="100" refreshedVersion="6" minRefreshableVersion="5">
    <extLst>
      <ext xmlns:x15="http://schemas.microsoft.com/office/spreadsheetml/2010/11/main" uri="{DE250136-89BD-433C-8126-D09CA5730AF9}">
        <x15:connection id="1bd06919-c5f3-48fd-b598-1812d3dab7b2"/>
      </ext>
    </extLst>
  </connection>
  <connection id="3" xr16:uid="{F64BEB04-397B-4921-A128-C6517C78F101}"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466315b4-d768-4924-bac2-bed4efab1bf0"/>
      </ext>
    </extLst>
  </connection>
  <connection id="4" xr16:uid="{0C37C808-9D3A-4012-97B3-62F9C5791E2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<sst xmlns="http://schemas.openxmlformats.org/spreadsheetml/2006/main" count="287" uniqueCount="133">
  <si>
    <t>Distinct Count of Patient Id</t>
  </si>
  <si>
    <t>No.1 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</si>
  <si>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</si>
  <si>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</si>
  <si>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</si>
  <si>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</si>
  <si>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</si>
  <si>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</si>
  <si>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</si>
  <si>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</si>
  <si>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</si>
  <si>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</si>
  <si>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</si>
  <si>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</si>
  <si>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</si>
  <si>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</si>
  <si>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Male</t>
  </si>
  <si>
    <t>White</t>
  </si>
  <si>
    <t>None</t>
  </si>
  <si>
    <t>Admitted</t>
  </si>
  <si>
    <t>60-69</t>
  </si>
  <si>
    <t>Ontime</t>
  </si>
  <si>
    <t>10-19</t>
  </si>
  <si>
    <t>Delay</t>
  </si>
  <si>
    <t>70-79</t>
  </si>
  <si>
    <t>40-49</t>
  </si>
  <si>
    <t>50-59</t>
  </si>
  <si>
    <t>0-9</t>
  </si>
  <si>
    <t>20-29</t>
  </si>
  <si>
    <t>30-39</t>
  </si>
  <si>
    <t>23:57</t>
  </si>
  <si>
    <t>09:47</t>
  </si>
  <si>
    <t>Female</t>
  </si>
  <si>
    <t>03:01</t>
  </si>
  <si>
    <t>06:47</t>
  </si>
  <si>
    <t>05:30</t>
  </si>
  <si>
    <t>Not Admitted</t>
  </si>
  <si>
    <t>356-43-7542</t>
  </si>
  <si>
    <t>E. Blunden</t>
  </si>
  <si>
    <t>08:13</t>
  </si>
  <si>
    <t>Average of Patient Satisfaction Score</t>
  </si>
  <si>
    <t>=</t>
  </si>
  <si>
    <t>Row Labels</t>
  </si>
  <si>
    <t>Grand Total</t>
  </si>
  <si>
    <t>2023</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</si>
  <si>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</si>
  <si>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</si>
  <si>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</si>
  <si>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</si>
  <si>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</si>
  <si>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</si>
  <si>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</si>
  <si>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</si>
  <si>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</si>
  <si>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</si>
  <si>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</si>
  <si>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</si>
  <si>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</si>
  <si>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</si>
  <si>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</si>
  <si>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</si>
  <si>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</si>
  <si>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</si>
  <si>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</si>
  <si>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</si>
  <si>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</si>
  <si>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</si>
  <si>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</si>
  <si>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</si>
  <si>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</si>
  <si>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</si>
  <si>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</si>
  <si>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</si>
  <si>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</si>
  <si>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</si>
  <si>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</si>
  <si>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Daily Trends of no of patient</t>
  </si>
  <si>
    <t>Average Wait Time</t>
  </si>
  <si>
    <t>828-49-0441</t>
  </si>
  <si>
    <t>U. Jensen</t>
  </si>
  <si>
    <t>African American</t>
  </si>
  <si>
    <t>259-48-1976</t>
  </si>
  <si>
    <t>T. Collis</t>
  </si>
  <si>
    <t>Two or More Races</t>
  </si>
  <si>
    <t>484-09-1969</t>
  </si>
  <si>
    <t>G. Dougill</t>
  </si>
  <si>
    <t>Declined to Identify</t>
  </si>
  <si>
    <t>168-12-2195</t>
  </si>
  <si>
    <t>06:31</t>
  </si>
  <si>
    <t>Q. Willett</t>
  </si>
  <si>
    <t>General Practice</t>
  </si>
  <si>
    <t>657-17-7377</t>
  </si>
  <si>
    <t>07:01</t>
  </si>
  <si>
    <t>J. Howroyd</t>
  </si>
  <si>
    <t>481-25-8959</t>
  </si>
  <si>
    <t>U. O'Kinneally</t>
  </si>
  <si>
    <t>Pacific Islander</t>
  </si>
  <si>
    <t>Orthopedics</t>
  </si>
  <si>
    <t>254-35-5734</t>
  </si>
  <si>
    <t>04:11</t>
  </si>
  <si>
    <t>S. Foulstone</t>
  </si>
  <si>
    <t>Neurology</t>
  </si>
  <si>
    <t>493-10-9938</t>
  </si>
  <si>
    <t>A. Haworth</t>
  </si>
  <si>
    <t>876-14-0295</t>
  </si>
  <si>
    <t>20:53</t>
  </si>
  <si>
    <t>E. Bellhouse</t>
  </si>
  <si>
    <t>490-11-8769</t>
  </si>
  <si>
    <t>07:32</t>
  </si>
  <si>
    <t>F. Bourcq</t>
  </si>
  <si>
    <t>493-10-1682</t>
  </si>
  <si>
    <t>16:41</t>
  </si>
  <si>
    <t>M. Akroyd</t>
  </si>
  <si>
    <t>428-04-4880</t>
  </si>
  <si>
    <t>06:20</t>
  </si>
  <si>
    <t>L. Masdin</t>
  </si>
  <si>
    <t>Data returned for Average of Patient Waittime, 1-Feb, Feb (First 1000 rows).</t>
  </si>
  <si>
    <t>Satisfaction Score Daily Trends</t>
  </si>
  <si>
    <t>Count of Patient Admission Flag</t>
  </si>
  <si>
    <t>Count of Patient attend Status</t>
  </si>
  <si>
    <t>Count of Patient Admission Flag2</t>
  </si>
  <si>
    <t>Admission Status</t>
  </si>
  <si>
    <t>% Status</t>
  </si>
  <si>
    <t xml:space="preserve"> Patient</t>
  </si>
  <si>
    <t>Count of Age Group</t>
  </si>
  <si>
    <t>Age group by  analysis</t>
  </si>
  <si>
    <t>attended Status</t>
  </si>
  <si>
    <t>Count of Patient Gender</t>
  </si>
  <si>
    <t>Cardiology</t>
  </si>
  <si>
    <t>Gastroenterology</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</si>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</sst>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0"/>
      <color theme="1"/>
      <name val="Calibri"/>
      <family val="2"/>
      <scheme val="minor"/>
    </font>
    <font>
      <sz val="10.5"/>
      <color rgb="FF000000"/>
      <name val="Aparajita"/>
      <family val="1"/>
    </font>
  </fonts>
  <fills count="5">
    <fill>
      <patternFill patternType="none"/>
    </fill>
    <fill>
      <patternFill patternType="gray125"/>
    </fill>
    <fill>
      <patternFill patternType="solid">
        <fgColor theme="1" tint="0.499984740745262"/>
        <bgColor indexed="64"/>
      </patternFill>
    </fill>
    <fill>
      <patternFill patternType="solid">
        <fgColor theme="2"/>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0" fontId="0" fillId="0" borderId="0" xfId="0" pivotButton="1"/>
    <xf numFmtId="14" fontId="0" fillId="0" borderId="0" xfId="0" applyNumberFormat="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9" fontId="0" fillId="0" borderId="0" xfId="1" applyFont="1"/>
    <xf numFmtId="0" fontId="2" fillId="0" borderId="0" xfId="0" applyFont="1"/>
    <xf numFmtId="0" fontId="2" fillId="4" borderId="0" xfId="0" applyFont="1" applyFill="1"/>
    <xf numFmtId="0" fontId="0" fillId="4" borderId="0" xfId="0" applyFill="1"/>
    <xf numFmtId="0" fontId="3" fillId="0" borderId="0" xfId="0" applyFont="1" applyAlignment="1">
      <alignment horizontal="center" vertical="center"/>
    </xf>
  </cellXfs>
  <cellStyles count="2">
    <cellStyle name="Normal" xfId="0" builtinId="0"/>
    <cellStyle name="Percent" xfId="1" builtinId="5"/>
  </cellStyles>
  <dxfs count="951">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font>
        <sz val="9"/>
        <name val="Arial"/>
        <family val="2"/>
        <scheme val="none"/>
      </font>
      <fill>
        <patternFill patternType="solid">
          <bgColor theme="2"/>
        </patternFill>
      </fill>
      <border diagonalUp="0" diagonalDown="1">
        <left/>
        <right/>
        <top/>
        <bottom/>
        <diagonal style="thin">
          <color auto="1"/>
        </diagonal>
        <vertical/>
        <horizontal/>
      </border>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19" formatCode="m/d/yyyy"/>
    </dxf>
    <dxf>
      <numFmt numFmtId="2" formatCode="0.00"/>
    </dxf>
    <dxf>
      <numFmt numFmtId="2" formatCode="0.00"/>
    </dxf>
  </dxfs>
  <tableStyles count="1" defaultTableStyle="TableStyleMedium2" defaultPivotStyle="PivotStyleLight16">
    <tableStyle name="My Style 1" pivot="0" table="0" count="7" xr9:uid="{03BA796F-81EF-42DF-A955-CF2550E21BFC}">
      <tableStyleElement type="wholeTable" dxfId="313"/>
      <tableStyleElement type="headerRow" dxfId="312"/>
    </tableStyle>
  </tableStyles>
  <extLst>
    <ext xmlns:x14="http://schemas.microsoft.com/office/spreadsheetml/2009/9/main" uri="{46F421CA-312F-682f-3DD2-61675219B42D}">
      <x14:dxfs count="10">
        <dxf>
          <fill>
            <patternFill>
              <bgColor theme="9" tint="0.39994506668294322"/>
            </patternFill>
          </fill>
        </dxf>
        <dxf>
          <fill>
            <patternFill>
              <bgColor theme="2"/>
            </patternFill>
          </fill>
        </dxf>
        <dxf>
          <fill>
            <patternFill>
              <bgColor rgb="FF00B050"/>
            </patternFill>
          </fill>
        </dxf>
        <dxf>
          <fill>
            <patternFill>
              <bgColor theme="2"/>
            </patternFill>
          </fill>
        </dxf>
        <dxf>
          <fill>
            <patternFill>
              <bgColor rgb="FF00B0F0"/>
            </patternFill>
          </fill>
        </dxf>
        <dxf>
          <fill>
            <patternFill>
              <bgColor theme="9" tint="0.39994506668294322"/>
            </patternFill>
          </fill>
        </dxf>
        <dxf>
          <fill>
            <patternFill>
              <bgColor theme="2"/>
            </patternFill>
          </fill>
        </dxf>
        <dxf>
          <fill>
            <patternFill>
              <bgColor rgb="FF00B050"/>
            </patternFill>
          </fill>
        </dxf>
        <dxf>
          <fill>
            <patternFill>
              <bgColor theme="2"/>
            </patternFill>
          </fill>
        </dxf>
        <dxf>
          <fill>
            <patternFill>
              <bgColor rgb="FF00B0F0"/>
            </patternFill>
          </fill>
        </dxf>
      </x14:dxfs>
    </ext>
    <ext xmlns:x14="http://schemas.microsoft.com/office/spreadsheetml/2009/9/main" uri="{EB79DEF2-80B8-43e5-95BD-54CBDDF9020C}">
      <x14:slicerStyles defaultSlicerStyle="SlicerStyleLight1">
        <x14:slicerStyle name="My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Report!PivotTable5</c:name>
    <c:fmtId val="13"/>
  </c:pivotSource>
  <c:chart>
    <c:autoTitleDeleted val="1"/>
    <c:pivotFmts>
      <c:pivotFmt>
        <c:idx val="0"/>
      </c:pivotFmt>
      <c:pivotFmt>
        <c:idx val="1"/>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02594764063136E-2"/>
          <c:y val="0.1287804867414829"/>
          <c:w val="0.83397918324826148"/>
          <c:h val="0.72233883438537783"/>
        </c:manualLayout>
      </c:layout>
      <c:areaChart>
        <c:grouping val="standard"/>
        <c:varyColors val="0"/>
        <c:ser>
          <c:idx val="0"/>
          <c:order val="0"/>
          <c:tx>
            <c:strRef>
              <c:f>' Pivot Report'!$F$6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Report'!$E$7:$E$38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 Pivot Report'!$F$7:$F$38</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A-07AE-441D-AEB3-0D528CAC7ACD}"/>
            </c:ext>
          </c:extLst>
        </c:ser>
        <c:dLbls>
          <c:showLegendKey val="0"/>
          <c:showVal val="0"/>
          <c:showCatName val="0"/>
          <c:showSerName val="0"/>
          <c:showPercent val="0"/>
          <c:showBubbleSize val="0"/>
        </c:dLbls>
        <c:axId val="907344208"/>
        <c:axId val="139324064"/>
      </c:areaChart>
      <c:catAx>
        <c:axId val="9073442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24064"/>
        <c:crosses val="autoZero"/>
        <c:auto val="1"/>
        <c:lblAlgn val="ctr"/>
        <c:lblOffset val="100"/>
        <c:noMultiLvlLbl val="0"/>
      </c:catAx>
      <c:valAx>
        <c:axId val="139324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73442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Report!PivotTable6</c:name>
    <c:fmtId val="20"/>
  </c:pivotSource>
  <c:chart>
    <c:autoTitleDeleted val="1"/>
    <c:pivotFmts>
      <c:pivotFmt>
        <c:idx val="0"/>
      </c:pivotFmt>
      <c:pivotFmt>
        <c:idx val="1"/>
      </c:pivotFmt>
      <c:pivotFmt>
        <c:idx val="2"/>
      </c:pivotFmt>
      <c:pivotFmt>
        <c:idx val="3"/>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32513049962714E-2"/>
          <c:y val="2.843257874015747E-2"/>
          <c:w val="0.9563012677106637"/>
          <c:h val="0.78463981064866906"/>
        </c:manualLayout>
      </c:layout>
      <c:areaChart>
        <c:grouping val="standard"/>
        <c:varyColors val="0"/>
        <c:ser>
          <c:idx val="0"/>
          <c:order val="0"/>
          <c:tx>
            <c:strRef>
              <c:f>' Pivot Report'!$K$7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 Pivot Report'!$J$8:$J$39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 Pivot Report'!$K$8:$K$39</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A-BB10-4691-B7E7-8ECB8CC672D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56802240"/>
        <c:axId val="1187331440"/>
      </c:areaChart>
      <c:catAx>
        <c:axId val="7568022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187331440"/>
        <c:crosses val="autoZero"/>
        <c:auto val="1"/>
        <c:lblAlgn val="ctr"/>
        <c:lblOffset val="100"/>
        <c:noMultiLvlLbl val="0"/>
      </c:catAx>
      <c:valAx>
        <c:axId val="1187331440"/>
        <c:scaling>
          <c:orientation val="minMax"/>
        </c:scaling>
        <c:delete val="1"/>
        <c:axPos val="l"/>
        <c:numFmt formatCode="0.00" sourceLinked="1"/>
        <c:majorTickMark val="out"/>
        <c:minorTickMark val="none"/>
        <c:tickLblPos val="nextTo"/>
        <c:crossAx val="756802240"/>
        <c:crosses val="autoZero"/>
        <c:crossBetween val="midCat"/>
      </c:valAx>
      <c:spPr>
        <a:noFill/>
        <a:ln>
          <a:solidFill>
            <a:schemeClr val="bg1">
              <a:lumMod val="85000"/>
            </a:schemeClr>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Report!PivotTable5</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0.13459838649519984"/>
          <c:y val="0"/>
          <c:w val="0.83397918324826148"/>
          <c:h val="0.92858857092332303"/>
        </c:manualLayout>
      </c:layout>
      <c:areaChart>
        <c:grouping val="standard"/>
        <c:varyColors val="0"/>
        <c:ser>
          <c:idx val="0"/>
          <c:order val="0"/>
          <c:tx>
            <c:strRef>
              <c:f>' Pivot Report'!$F$6</c:f>
              <c:strCache>
                <c:ptCount val="1"/>
                <c:pt idx="0">
                  <c:v>Total</c:v>
                </c:pt>
              </c:strCache>
            </c:strRef>
          </c:tx>
          <c:spPr>
            <a:solidFill>
              <a:schemeClr val="accent1"/>
            </a:solidFill>
            <a:ln w="25400">
              <a:noFill/>
            </a:ln>
            <a:effectLst/>
          </c:spPr>
          <c:cat>
            <c:strRef>
              <c:f>' Pivot Report'!$E$7:$E$38</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 Pivot Report'!$F$7:$F$38</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A-4953-4568-8488-5CB003B6F130}"/>
            </c:ext>
          </c:extLst>
        </c:ser>
        <c:dLbls>
          <c:showLegendKey val="0"/>
          <c:showVal val="0"/>
          <c:showCatName val="0"/>
          <c:showSerName val="0"/>
          <c:showPercent val="0"/>
          <c:showBubbleSize val="0"/>
        </c:dLbls>
        <c:axId val="907344208"/>
        <c:axId val="139324064"/>
      </c:areaChart>
      <c:catAx>
        <c:axId val="907344208"/>
        <c:scaling>
          <c:orientation val="minMax"/>
        </c:scaling>
        <c:delete val="1"/>
        <c:axPos val="b"/>
        <c:numFmt formatCode="General" sourceLinked="1"/>
        <c:majorTickMark val="out"/>
        <c:minorTickMark val="none"/>
        <c:tickLblPos val="nextTo"/>
        <c:crossAx val="139324064"/>
        <c:crosses val="autoZero"/>
        <c:auto val="1"/>
        <c:lblAlgn val="ctr"/>
        <c:lblOffset val="100"/>
        <c:noMultiLvlLbl val="0"/>
      </c:catAx>
      <c:valAx>
        <c:axId val="139324064"/>
        <c:scaling>
          <c:orientation val="minMax"/>
        </c:scaling>
        <c:delete val="1"/>
        <c:axPos val="l"/>
        <c:numFmt formatCode="General" sourceLinked="1"/>
        <c:majorTickMark val="none"/>
        <c:minorTickMark val="none"/>
        <c:tickLblPos val="nextTo"/>
        <c:crossAx val="90734420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Report!PivotTable6</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 Pivot Report'!$K$7</c:f>
              <c:strCache>
                <c:ptCount val="1"/>
                <c:pt idx="0">
                  <c:v>Total</c:v>
                </c:pt>
              </c:strCache>
            </c:strRef>
          </c:tx>
          <c:spPr>
            <a:solidFill>
              <a:schemeClr val="accent1"/>
            </a:solidFill>
            <a:ln w="25400">
              <a:noFill/>
            </a:ln>
            <a:effectLst/>
          </c:spPr>
          <c:cat>
            <c:strRef>
              <c:f>' Pivot Report'!$J$8:$J$39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 Pivot Report'!$K$8:$K$39</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A-A478-4AAC-B823-E78A2382BE17}"/>
            </c:ext>
          </c:extLst>
        </c:ser>
        <c:dLbls>
          <c:showLegendKey val="0"/>
          <c:showVal val="0"/>
          <c:showCatName val="0"/>
          <c:showSerName val="0"/>
          <c:showPercent val="0"/>
          <c:showBubbleSize val="0"/>
        </c:dLbls>
        <c:axId val="756802240"/>
        <c:axId val="1187331440"/>
      </c:areaChart>
      <c:catAx>
        <c:axId val="756802240"/>
        <c:scaling>
          <c:orientation val="minMax"/>
        </c:scaling>
        <c:delete val="1"/>
        <c:axPos val="b"/>
        <c:numFmt formatCode="General" sourceLinked="1"/>
        <c:majorTickMark val="out"/>
        <c:minorTickMark val="none"/>
        <c:tickLblPos val="nextTo"/>
        <c:crossAx val="1187331440"/>
        <c:crosses val="autoZero"/>
        <c:auto val="1"/>
        <c:lblAlgn val="ctr"/>
        <c:lblOffset val="100"/>
        <c:noMultiLvlLbl val="0"/>
      </c:catAx>
      <c:valAx>
        <c:axId val="1187331440"/>
        <c:scaling>
          <c:orientation val="minMax"/>
        </c:scaling>
        <c:delete val="1"/>
        <c:axPos val="l"/>
        <c:numFmt formatCode="0.00" sourceLinked="1"/>
        <c:majorTickMark val="none"/>
        <c:minorTickMark val="none"/>
        <c:tickLblPos val="nextTo"/>
        <c:crossAx val="75680224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Report!PivotTable7</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 Pivot Report'!$N$7</c:f>
              <c:strCache>
                <c:ptCount val="1"/>
                <c:pt idx="0">
                  <c:v>Total</c:v>
                </c:pt>
              </c:strCache>
            </c:strRef>
          </c:tx>
          <c:spPr>
            <a:solidFill>
              <a:schemeClr val="accent1"/>
            </a:solidFill>
            <a:ln w="25400">
              <a:noFill/>
            </a:ln>
            <a:effectLst/>
          </c:spPr>
          <c:cat>
            <c:strRef>
              <c:f>' Pivot Report'!$M$8:$M$39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 Pivot Report'!$N$8:$N$39</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A-FAE2-4877-B10B-9F82A49A92DD}"/>
            </c:ext>
          </c:extLst>
        </c:ser>
        <c:dLbls>
          <c:showLegendKey val="0"/>
          <c:showVal val="0"/>
          <c:showCatName val="0"/>
          <c:showSerName val="0"/>
          <c:showPercent val="0"/>
          <c:showBubbleSize val="0"/>
        </c:dLbls>
        <c:axId val="1699303200"/>
        <c:axId val="893351888"/>
      </c:areaChart>
      <c:catAx>
        <c:axId val="1699303200"/>
        <c:scaling>
          <c:orientation val="minMax"/>
        </c:scaling>
        <c:delete val="1"/>
        <c:axPos val="b"/>
        <c:numFmt formatCode="General" sourceLinked="1"/>
        <c:majorTickMark val="out"/>
        <c:minorTickMark val="none"/>
        <c:tickLblPos val="nextTo"/>
        <c:crossAx val="893351888"/>
        <c:crosses val="autoZero"/>
        <c:auto val="1"/>
        <c:lblAlgn val="ctr"/>
        <c:lblOffset val="100"/>
        <c:noMultiLvlLbl val="0"/>
      </c:catAx>
      <c:valAx>
        <c:axId val="893351888"/>
        <c:scaling>
          <c:orientation val="minMax"/>
        </c:scaling>
        <c:delete val="1"/>
        <c:axPos val="l"/>
        <c:numFmt formatCode="0.00" sourceLinked="1"/>
        <c:majorTickMark val="none"/>
        <c:minorTickMark val="none"/>
        <c:tickLblPos val="nextTo"/>
        <c:crossAx val="16993032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Report!PivotTable12</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57905140335041E-2"/>
          <c:y val="0.23301091453608458"/>
          <c:w val="0.92948418971932989"/>
          <c:h val="0.55908717868380586"/>
        </c:manualLayout>
      </c:layout>
      <c:barChart>
        <c:barDir val="col"/>
        <c:grouping val="clustered"/>
        <c:varyColors val="0"/>
        <c:ser>
          <c:idx val="0"/>
          <c:order val="0"/>
          <c:tx>
            <c:strRef>
              <c:f>' 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Report'!$A$54:$A$62</c:f>
              <c:strCache>
                <c:ptCount val="8"/>
                <c:pt idx="0">
                  <c:v>0-9</c:v>
                </c:pt>
                <c:pt idx="1">
                  <c:v>10-19</c:v>
                </c:pt>
                <c:pt idx="2">
                  <c:v>20-29</c:v>
                </c:pt>
                <c:pt idx="3">
                  <c:v>30-39</c:v>
                </c:pt>
                <c:pt idx="4">
                  <c:v>40-49</c:v>
                </c:pt>
                <c:pt idx="5">
                  <c:v>50-59</c:v>
                </c:pt>
                <c:pt idx="6">
                  <c:v>60-69</c:v>
                </c:pt>
                <c:pt idx="7">
                  <c:v>70-79</c:v>
                </c:pt>
              </c:strCache>
            </c:strRef>
          </c:cat>
          <c:val>
            <c:numRef>
              <c:f>' Pivot Report'!$B$54:$B$62</c:f>
              <c:numCache>
                <c:formatCode>0</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A-09B7-41C7-A477-6F39F4C7C394}"/>
            </c:ext>
          </c:extLst>
        </c:ser>
        <c:dLbls>
          <c:showLegendKey val="0"/>
          <c:showVal val="0"/>
          <c:showCatName val="0"/>
          <c:showSerName val="0"/>
          <c:showPercent val="0"/>
          <c:showBubbleSize val="0"/>
        </c:dLbls>
        <c:gapWidth val="219"/>
        <c:overlap val="-27"/>
        <c:axId val="1161999104"/>
        <c:axId val="1087920784"/>
      </c:barChart>
      <c:catAx>
        <c:axId val="11619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920784"/>
        <c:crosses val="autoZero"/>
        <c:auto val="1"/>
        <c:lblAlgn val="ctr"/>
        <c:lblOffset val="100"/>
        <c:noMultiLvlLbl val="0"/>
      </c:catAx>
      <c:valAx>
        <c:axId val="1087920784"/>
        <c:scaling>
          <c:orientation val="minMax"/>
        </c:scaling>
        <c:delete val="1"/>
        <c:axPos val="l"/>
        <c:numFmt formatCode="0" sourceLinked="1"/>
        <c:majorTickMark val="none"/>
        <c:minorTickMark val="none"/>
        <c:tickLblPos val="nextTo"/>
        <c:crossAx val="116199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Report!PivotTable13</c:name>
    <c:fmtId val="24"/>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776841432152054"/>
          <c:y val="0.12893804417531685"/>
          <c:w val="0.67030128633335029"/>
          <c:h val="0.61012388254699756"/>
        </c:manualLayout>
      </c:layout>
      <c:pieChart>
        <c:varyColors val="1"/>
        <c:ser>
          <c:idx val="0"/>
          <c:order val="0"/>
          <c:tx>
            <c:strRef>
              <c:f>' Pivot Report'!$B$65</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 Report'!$A$66:$A$68</c:f>
              <c:strCache>
                <c:ptCount val="2"/>
                <c:pt idx="0">
                  <c:v>Delay</c:v>
                </c:pt>
                <c:pt idx="1">
                  <c:v>Ontime</c:v>
                </c:pt>
              </c:strCache>
            </c:strRef>
          </c:cat>
          <c:val>
            <c:numRef>
              <c:f>' Pivot Report'!$B$66:$B$68</c:f>
              <c:numCache>
                <c:formatCode>0</c:formatCode>
                <c:ptCount val="2"/>
                <c:pt idx="0">
                  <c:v>307</c:v>
                </c:pt>
                <c:pt idx="1">
                  <c:v>187</c:v>
                </c:pt>
              </c:numCache>
            </c:numRef>
          </c:val>
          <c:extLst>
            <c:ext xmlns:c16="http://schemas.microsoft.com/office/drawing/2014/chart" uri="{C3380CC4-5D6E-409C-BE32-E72D297353CC}">
              <c16:uniqueId val="{0000000E-0243-4639-82AD-A7AF8655CF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2963705188154083E-2"/>
          <c:y val="2.3926304487689183E-2"/>
          <c:w val="0.67728448349690817"/>
          <c:h val="0.11665112808056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Report!PivotTable14</c:name>
    <c:fmtId val="2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770199037800042"/>
          <c:y val="0.14615629642334732"/>
          <c:w val="0.4363029732401344"/>
          <c:h val="0.63531841252167487"/>
        </c:manualLayout>
      </c:layout>
      <c:doughnutChart>
        <c:varyColors val="1"/>
        <c:ser>
          <c:idx val="0"/>
          <c:order val="0"/>
          <c:tx>
            <c:strRef>
              <c:f>' Pivot Report'!$B$71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 Report'!$A$72:$A$74</c:f>
              <c:strCache>
                <c:ptCount val="2"/>
                <c:pt idx="0">
                  <c:v>Female</c:v>
                </c:pt>
                <c:pt idx="1">
                  <c:v>Male</c:v>
                </c:pt>
              </c:strCache>
            </c:strRef>
          </c:cat>
          <c:val>
            <c:numRef>
              <c:f>' Pivot Report'!$B$72:$B$74</c:f>
              <c:numCache>
                <c:formatCode>0</c:formatCode>
                <c:ptCount val="2"/>
                <c:pt idx="0">
                  <c:v>241</c:v>
                </c:pt>
                <c:pt idx="1">
                  <c:v>253</c:v>
                </c:pt>
              </c:numCache>
            </c:numRef>
          </c:val>
          <c:extLst>
            <c:ext xmlns:c16="http://schemas.microsoft.com/office/drawing/2014/chart" uri="{C3380CC4-5D6E-409C-BE32-E72D297353CC}">
              <c16:uniqueId val="{0000000E-ADBF-461A-B50F-757CF80C4F6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711816443933877"/>
          <c:y val="1.5613345193397493E-3"/>
          <c:w val="0.76430427975179305"/>
          <c:h val="0.164639875913793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Report!PivotTable15</c:name>
    <c:fmtId val="3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2096508463976"/>
          <c:y val="7.5469076191769166E-2"/>
          <c:w val="0.67632311371022569"/>
          <c:h val="0.81422996629718347"/>
        </c:manualLayout>
      </c:layout>
      <c:barChart>
        <c:barDir val="bar"/>
        <c:grouping val="clustered"/>
        <c:varyColors val="0"/>
        <c:ser>
          <c:idx val="0"/>
          <c:order val="0"/>
          <c:tx>
            <c:strRef>
              <c:f>' 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Report'!$A$79:$A$87</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 Pivot Report'!$B$79:$B$87</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A-D7FF-4F8E-AF6F-2E3A53ECAB3D}"/>
            </c:ext>
          </c:extLst>
        </c:ser>
        <c:dLbls>
          <c:showLegendKey val="0"/>
          <c:showVal val="0"/>
          <c:showCatName val="0"/>
          <c:showSerName val="0"/>
          <c:showPercent val="0"/>
          <c:showBubbleSize val="0"/>
        </c:dLbls>
        <c:gapWidth val="34"/>
        <c:overlap val="25"/>
        <c:axId val="1081593248"/>
        <c:axId val="172296719"/>
      </c:barChart>
      <c:catAx>
        <c:axId val="108159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296719"/>
        <c:crosses val="autoZero"/>
        <c:auto val="1"/>
        <c:lblAlgn val="ctr"/>
        <c:lblOffset val="100"/>
        <c:noMultiLvlLbl val="0"/>
      </c:catAx>
      <c:valAx>
        <c:axId val="172296719"/>
        <c:scaling>
          <c:orientation val="minMax"/>
        </c:scaling>
        <c:delete val="1"/>
        <c:axPos val="b"/>
        <c:numFmt formatCode="0" sourceLinked="1"/>
        <c:majorTickMark val="none"/>
        <c:minorTickMark val="none"/>
        <c:tickLblPos val="nextTo"/>
        <c:crossAx val="108159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Report!PivotTable8</c:name>
    <c:fmtId val="0"/>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pivotFmt>
      <c:pivotFmt>
        <c:idx val="2"/>
        <c:spPr>
          <a:solidFill>
            <a:srgbClr val="0070C0"/>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3"/>
        <c:spPr>
          <a:solidFill>
            <a:srgbClr val="0070C0"/>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s>
    <c:plotArea>
      <c:layout>
        <c:manualLayout>
          <c:layoutTarget val="inner"/>
          <c:xMode val="edge"/>
          <c:yMode val="edge"/>
          <c:x val="0.21208875053409018"/>
          <c:y val="0"/>
          <c:w val="0.7879106706489275"/>
          <c:h val="0.9083412073490813"/>
        </c:manualLayout>
      </c:layout>
      <c:barChart>
        <c:barDir val="bar"/>
        <c:grouping val="clustered"/>
        <c:varyColors val="0"/>
        <c:ser>
          <c:idx val="0"/>
          <c:order val="0"/>
          <c:tx>
            <c:strRef>
              <c:f>' Pivot Report'!$B$41</c:f>
              <c:strCache>
                <c:ptCount val="1"/>
                <c:pt idx="0">
                  <c:v>Count of Patient Admission Flag</c:v>
                </c:pt>
              </c:strCache>
            </c:strRef>
          </c:tx>
          <c:spPr>
            <a:solidFill>
              <a:srgbClr val="0070C0"/>
            </a:solidFill>
            <a:ln>
              <a:noFill/>
            </a:ln>
            <a:effectLst/>
          </c:spPr>
          <c:invertIfNegative val="0"/>
          <c:dLbls>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dLbl>
              <c:idx val="1"/>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 Pivot Report'!$A$42:$A$44</c:f>
              <c:strCache>
                <c:ptCount val="2"/>
                <c:pt idx="0">
                  <c:v>Admitted</c:v>
                </c:pt>
                <c:pt idx="1">
                  <c:v>Not Admitted</c:v>
                </c:pt>
              </c:strCache>
            </c:strRef>
          </c:cat>
          <c:val>
            <c:numRef>
              <c:f>' Pivot Report'!$B$42:$B$44</c:f>
              <c:numCache>
                <c:formatCode>General</c:formatCode>
                <c:ptCount val="2"/>
                <c:pt idx="0">
                  <c:v>234</c:v>
                </c:pt>
                <c:pt idx="1">
                  <c:v>260</c:v>
                </c:pt>
              </c:numCache>
            </c:numRef>
          </c:val>
          <c:extLst>
            <c:ext xmlns:c16="http://schemas.microsoft.com/office/drawing/2014/chart" uri="{C3380CC4-5D6E-409C-BE32-E72D297353CC}">
              <c16:uniqueId val="{00000016-D65B-47BE-ADFB-B244564A9F23}"/>
            </c:ext>
          </c:extLst>
        </c:ser>
        <c:ser>
          <c:idx val="1"/>
          <c:order val="1"/>
          <c:tx>
            <c:strRef>
              <c:f>' Pivot Report'!$C$41</c:f>
              <c:strCache>
                <c:ptCount val="1"/>
                <c:pt idx="0">
                  <c:v>Count of Patient Admission Flag2</c:v>
                </c:pt>
              </c:strCache>
            </c:strRef>
          </c:tx>
          <c:spPr>
            <a:solidFill>
              <a:schemeClr val="accent2"/>
            </a:solidFill>
            <a:ln>
              <a:noFill/>
            </a:ln>
            <a:effectLst/>
          </c:spPr>
          <c:invertIfNegative val="0"/>
          <c:cat>
            <c:strRef>
              <c:f>' Pivot Report'!$A$42:$A$44</c:f>
              <c:strCache>
                <c:ptCount val="2"/>
                <c:pt idx="0">
                  <c:v>Admitted</c:v>
                </c:pt>
                <c:pt idx="1">
                  <c:v>Not Admitted</c:v>
                </c:pt>
              </c:strCache>
            </c:strRef>
          </c:cat>
          <c:val>
            <c:numRef>
              <c:f>' Pivot Report'!$C$42:$C$44</c:f>
              <c:numCache>
                <c:formatCode>0.00%</c:formatCode>
                <c:ptCount val="2"/>
                <c:pt idx="0">
                  <c:v>0.47368421052631576</c:v>
                </c:pt>
                <c:pt idx="1">
                  <c:v>0.52631578947368418</c:v>
                </c:pt>
              </c:numCache>
            </c:numRef>
          </c:val>
          <c:extLst>
            <c:ext xmlns:c16="http://schemas.microsoft.com/office/drawing/2014/chart" uri="{C3380CC4-5D6E-409C-BE32-E72D297353CC}">
              <c16:uniqueId val="{00000017-D65B-47BE-ADFB-B244564A9F23}"/>
            </c:ext>
          </c:extLst>
        </c:ser>
        <c:dLbls>
          <c:showLegendKey val="0"/>
          <c:showVal val="0"/>
          <c:showCatName val="0"/>
          <c:showSerName val="0"/>
          <c:showPercent val="0"/>
          <c:showBubbleSize val="0"/>
        </c:dLbls>
        <c:gapWidth val="39"/>
        <c:overlap val="59"/>
        <c:axId val="1075093152"/>
        <c:axId val="178284047"/>
      </c:barChart>
      <c:catAx>
        <c:axId val="1075093152"/>
        <c:scaling>
          <c:orientation val="minMax"/>
        </c:scaling>
        <c:delete val="1"/>
        <c:axPos val="l"/>
        <c:numFmt formatCode="General" sourceLinked="1"/>
        <c:majorTickMark val="none"/>
        <c:minorTickMark val="none"/>
        <c:tickLblPos val="nextTo"/>
        <c:crossAx val="178284047"/>
        <c:crosses val="autoZero"/>
        <c:auto val="1"/>
        <c:lblAlgn val="ctr"/>
        <c:lblOffset val="100"/>
        <c:noMultiLvlLbl val="0"/>
      </c:catAx>
      <c:valAx>
        <c:axId val="178284047"/>
        <c:scaling>
          <c:orientation val="minMax"/>
        </c:scaling>
        <c:delete val="1"/>
        <c:axPos val="b"/>
        <c:numFmt formatCode="General" sourceLinked="1"/>
        <c:majorTickMark val="none"/>
        <c:minorTickMark val="none"/>
        <c:tickLblPos val="nextTo"/>
        <c:crossAx val="1075093152"/>
        <c:crosses val="autoZero"/>
        <c:crossBetween val="between"/>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Dashboard.xlsx] Pivot Report!PivotTable7</c:name>
    <c:fmtId val="29"/>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6.0185185185185182E-2"/>
          <c:w val="0.93888888888888888"/>
          <c:h val="0.77577172645086034"/>
        </c:manualLayout>
      </c:layout>
      <c:areaChart>
        <c:grouping val="standard"/>
        <c:varyColors val="0"/>
        <c:ser>
          <c:idx val="0"/>
          <c:order val="0"/>
          <c:tx>
            <c:strRef>
              <c:f>' Pivot Report'!$N$7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Report'!$M$8:$M$39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 Pivot Report'!$N$8:$N$39</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A-BCCA-4005-885E-996414829D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9303200"/>
        <c:axId val="893351888"/>
      </c:areaChart>
      <c:catAx>
        <c:axId val="16993032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3351888"/>
        <c:crosses val="autoZero"/>
        <c:auto val="1"/>
        <c:lblAlgn val="ctr"/>
        <c:lblOffset val="100"/>
        <c:noMultiLvlLbl val="0"/>
      </c:catAx>
      <c:valAx>
        <c:axId val="893351888"/>
        <c:scaling>
          <c:orientation val="minMax"/>
        </c:scaling>
        <c:delete val="1"/>
        <c:axPos val="l"/>
        <c:numFmt formatCode="0.00" sourceLinked="1"/>
        <c:majorTickMark val="out"/>
        <c:minorTickMark val="none"/>
        <c:tickLblPos val="nextTo"/>
        <c:crossAx val="16993032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image" Target="../media/image6.png"/><Relationship Id="rId16" Type="http://schemas.openxmlformats.org/officeDocument/2006/relationships/chart" Target="../charts/chart7.xml"/><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chart" Target="../charts/chart4.xml"/><Relationship Id="rId5" Type="http://schemas.openxmlformats.org/officeDocument/2006/relationships/image" Target="../media/image9.sv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8.png"/><Relationship Id="rId9" Type="http://schemas.openxmlformats.org/officeDocument/2006/relationships/chart" Target="../charts/chart3.xml"/><Relationship Id="rId14" Type="http://schemas.openxmlformats.org/officeDocument/2006/relationships/image" Target="../media/image12.emf"/></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599872</xdr:colOff>
      <xdr:row>25</xdr:row>
      <xdr:rowOff>15240</xdr:rowOff>
    </xdr:to>
    <xdr:graphicFrame macro="">
      <xdr:nvGraphicFramePr>
        <xdr:cNvPr id="2" name="Chart 1">
          <a:extLst>
            <a:ext uri="{FF2B5EF4-FFF2-40B4-BE49-F238E27FC236}">
              <a16:creationId xmlns:a16="http://schemas.microsoft.com/office/drawing/2014/main" id="{BA413DAB-2AF1-4999-9E33-664FE9D04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0.06058</cdr:x>
      <cdr:y>0.10227</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22306DD-8147-4722-B6BF-98C2FB1027E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78277" cy="478277"/>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68580</xdr:colOff>
      <xdr:row>0</xdr:row>
      <xdr:rowOff>7620</xdr:rowOff>
    </xdr:from>
    <xdr:to>
      <xdr:col>16</xdr:col>
      <xdr:colOff>533400</xdr:colOff>
      <xdr:row>28</xdr:row>
      <xdr:rowOff>7620</xdr:rowOff>
    </xdr:to>
    <xdr:graphicFrame macro="">
      <xdr:nvGraphicFramePr>
        <xdr:cNvPr id="2" name="Chart 1">
          <a:extLst>
            <a:ext uri="{FF2B5EF4-FFF2-40B4-BE49-F238E27FC236}">
              <a16:creationId xmlns:a16="http://schemas.microsoft.com/office/drawing/2014/main" id="{9C356D48-2354-4A0D-BF89-A996BE576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254656</xdr:colOff>
      <xdr:row>25</xdr:row>
      <xdr:rowOff>34105</xdr:rowOff>
    </xdr:from>
    <xdr:ext cx="7263142" cy="263075"/>
    <xdr:sp macro="" textlink="">
      <xdr:nvSpPr>
        <xdr:cNvPr id="3" name="Rectangle 2">
          <a:extLst>
            <a:ext uri="{FF2B5EF4-FFF2-40B4-BE49-F238E27FC236}">
              <a16:creationId xmlns:a16="http://schemas.microsoft.com/office/drawing/2014/main" id="{1A9DB256-E050-4770-AC0E-355D76720080}"/>
            </a:ext>
          </a:extLst>
        </xdr:cNvPr>
        <xdr:cNvSpPr/>
      </xdr:nvSpPr>
      <xdr:spPr>
        <a:xfrm>
          <a:off x="1473856" y="4606105"/>
          <a:ext cx="7263142" cy="263075"/>
        </a:xfrm>
        <a:prstGeom prst="rect">
          <a:avLst/>
        </a:prstGeom>
        <a:noFill/>
      </xdr:spPr>
      <xdr:txBody>
        <a:bodyPr wrap="non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Use</a:t>
          </a:r>
          <a:r>
            <a:rPr lang="en-US" sz="1200" b="0" cap="none" spc="0" baseline="0">
              <a:ln w="0"/>
              <a:solidFill>
                <a:schemeClr val="tx1"/>
              </a:solidFill>
              <a:effectLst>
                <a:outerShdw blurRad="38100" dist="19050" dir="2700000" algn="tl" rotWithShape="0">
                  <a:schemeClr val="dk1">
                    <a:alpha val="40000"/>
                  </a:schemeClr>
                </a:outerShdw>
              </a:effectLst>
            </a:rPr>
            <a:t> an area chart to track daily changes and highlight days with longer wait times that might need improvements</a:t>
          </a:r>
        </a:p>
        <a:p>
          <a:pPr algn="ct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45720</xdr:colOff>
      <xdr:row>0</xdr:row>
      <xdr:rowOff>0</xdr:rowOff>
    </xdr:from>
    <xdr:to>
      <xdr:col>1</xdr:col>
      <xdr:colOff>45720</xdr:colOff>
      <xdr:row>3</xdr:row>
      <xdr:rowOff>60960</xdr:rowOff>
    </xdr:to>
    <xdr:pic>
      <xdr:nvPicPr>
        <xdr:cNvPr id="5" name="Graphic 4" descr="Home">
          <a:hlinkClick xmlns:r="http://schemas.openxmlformats.org/officeDocument/2006/relationships" r:id="rId2"/>
          <a:extLst>
            <a:ext uri="{FF2B5EF4-FFF2-40B4-BE49-F238E27FC236}">
              <a16:creationId xmlns:a16="http://schemas.microsoft.com/office/drawing/2014/main" id="{09AEB699-BED8-48E0-A0FB-28205A59295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5720" y="0"/>
          <a:ext cx="609600" cy="609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47037</xdr:colOff>
      <xdr:row>0</xdr:row>
      <xdr:rowOff>75259</xdr:rowOff>
    </xdr:from>
    <xdr:to>
      <xdr:col>5</xdr:col>
      <xdr:colOff>272814</xdr:colOff>
      <xdr:row>3</xdr:row>
      <xdr:rowOff>141112</xdr:rowOff>
    </xdr:to>
    <xdr:sp macro="" textlink="">
      <xdr:nvSpPr>
        <xdr:cNvPr id="2" name="Flowchart: Alternate Process 1">
          <a:extLst>
            <a:ext uri="{FF2B5EF4-FFF2-40B4-BE49-F238E27FC236}">
              <a16:creationId xmlns:a16="http://schemas.microsoft.com/office/drawing/2014/main" id="{9AE30539-377E-44ED-83A9-D04D533DD814}"/>
            </a:ext>
          </a:extLst>
        </xdr:cNvPr>
        <xdr:cNvSpPr/>
      </xdr:nvSpPr>
      <xdr:spPr>
        <a:xfrm>
          <a:off x="47037" y="75259"/>
          <a:ext cx="3339629" cy="602075"/>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319850</xdr:colOff>
      <xdr:row>0</xdr:row>
      <xdr:rowOff>75259</xdr:rowOff>
    </xdr:from>
    <xdr:to>
      <xdr:col>7</xdr:col>
      <xdr:colOff>282222</xdr:colOff>
      <xdr:row>3</xdr:row>
      <xdr:rowOff>131704</xdr:rowOff>
    </xdr:to>
    <xdr:sp macro="" textlink="">
      <xdr:nvSpPr>
        <xdr:cNvPr id="3" name="Flowchart: Alternate Process 2">
          <a:extLst>
            <a:ext uri="{FF2B5EF4-FFF2-40B4-BE49-F238E27FC236}">
              <a16:creationId xmlns:a16="http://schemas.microsoft.com/office/drawing/2014/main" id="{D7F202D6-A060-427F-B5DB-EC3A5DEEF16E}"/>
            </a:ext>
          </a:extLst>
        </xdr:cNvPr>
        <xdr:cNvSpPr/>
      </xdr:nvSpPr>
      <xdr:spPr>
        <a:xfrm>
          <a:off x="3433702" y="75259"/>
          <a:ext cx="1185335" cy="592667"/>
        </a:xfrm>
        <a:prstGeom prst="flowChartAlternateProcess">
          <a:avLst/>
        </a:prstGeom>
        <a:solidFill>
          <a:schemeClr val="bg2"/>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159924</xdr:colOff>
      <xdr:row>4</xdr:row>
      <xdr:rowOff>7697</xdr:rowOff>
    </xdr:from>
    <xdr:to>
      <xdr:col>3</xdr:col>
      <xdr:colOff>206962</xdr:colOff>
      <xdr:row>8</xdr:row>
      <xdr:rowOff>141111</xdr:rowOff>
    </xdr:to>
    <xdr:sp macro="" textlink="">
      <xdr:nvSpPr>
        <xdr:cNvPr id="4" name="Flowchart: Alternate Process 3">
          <a:extLst>
            <a:ext uri="{FF2B5EF4-FFF2-40B4-BE49-F238E27FC236}">
              <a16:creationId xmlns:a16="http://schemas.microsoft.com/office/drawing/2014/main" id="{E3DA4517-4045-408A-B26F-A1BF1742314C}"/>
            </a:ext>
          </a:extLst>
        </xdr:cNvPr>
        <xdr:cNvSpPr/>
      </xdr:nvSpPr>
      <xdr:spPr>
        <a:xfrm>
          <a:off x="767985" y="746606"/>
          <a:ext cx="1263159" cy="872323"/>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365176</xdr:colOff>
      <xdr:row>8</xdr:row>
      <xdr:rowOff>153940</xdr:rowOff>
    </xdr:from>
    <xdr:to>
      <xdr:col>12</xdr:col>
      <xdr:colOff>746607</xdr:colOff>
      <xdr:row>19</xdr:row>
      <xdr:rowOff>122296</xdr:rowOff>
    </xdr:to>
    <xdr:sp macro="" textlink="">
      <xdr:nvSpPr>
        <xdr:cNvPr id="5" name="Flowchart: Alternate Process 4">
          <a:extLst>
            <a:ext uri="{FF2B5EF4-FFF2-40B4-BE49-F238E27FC236}">
              <a16:creationId xmlns:a16="http://schemas.microsoft.com/office/drawing/2014/main" id="{DE445BDB-5435-4680-B04E-C4978496C798}"/>
            </a:ext>
          </a:extLst>
        </xdr:cNvPr>
        <xdr:cNvSpPr/>
      </xdr:nvSpPr>
      <xdr:spPr>
        <a:xfrm>
          <a:off x="4683176" y="1631758"/>
          <a:ext cx="3421734" cy="2000356"/>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58155</xdr:colOff>
      <xdr:row>4</xdr:row>
      <xdr:rowOff>3419</xdr:rowOff>
    </xdr:from>
    <xdr:to>
      <xdr:col>1</xdr:col>
      <xdr:colOff>105191</xdr:colOff>
      <xdr:row>19</xdr:row>
      <xdr:rowOff>130849</xdr:rowOff>
    </xdr:to>
    <xdr:sp macro="" textlink="">
      <xdr:nvSpPr>
        <xdr:cNvPr id="6" name="Flowchart: Alternate Process 5">
          <a:extLst>
            <a:ext uri="{FF2B5EF4-FFF2-40B4-BE49-F238E27FC236}">
              <a16:creationId xmlns:a16="http://schemas.microsoft.com/office/drawing/2014/main" id="{FDB514EB-9025-486A-856C-D331D7766749}"/>
            </a:ext>
          </a:extLst>
        </xdr:cNvPr>
        <xdr:cNvSpPr/>
      </xdr:nvSpPr>
      <xdr:spPr>
        <a:xfrm>
          <a:off x="58155" y="742328"/>
          <a:ext cx="655097" cy="2898339"/>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254002</xdr:colOff>
      <xdr:row>4</xdr:row>
      <xdr:rowOff>9404</xdr:rowOff>
    </xdr:from>
    <xdr:to>
      <xdr:col>5</xdr:col>
      <xdr:colOff>169334</xdr:colOff>
      <xdr:row>8</xdr:row>
      <xdr:rowOff>141110</xdr:rowOff>
    </xdr:to>
    <xdr:sp macro="" textlink="">
      <xdr:nvSpPr>
        <xdr:cNvPr id="7" name="Flowchart: Alternate Process 6">
          <a:extLst>
            <a:ext uri="{FF2B5EF4-FFF2-40B4-BE49-F238E27FC236}">
              <a16:creationId xmlns:a16="http://schemas.microsoft.com/office/drawing/2014/main" id="{3C7AA0DE-AFFB-4B18-8D75-C0B2BF45DC49}"/>
            </a:ext>
          </a:extLst>
        </xdr:cNvPr>
        <xdr:cNvSpPr/>
      </xdr:nvSpPr>
      <xdr:spPr>
        <a:xfrm>
          <a:off x="2088446" y="724367"/>
          <a:ext cx="1194740" cy="846669"/>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225777</xdr:colOff>
      <xdr:row>4</xdr:row>
      <xdr:rowOff>9406</xdr:rowOff>
    </xdr:from>
    <xdr:to>
      <xdr:col>7</xdr:col>
      <xdr:colOff>291629</xdr:colOff>
      <xdr:row>8</xdr:row>
      <xdr:rowOff>141111</xdr:rowOff>
    </xdr:to>
    <xdr:sp macro="" textlink="">
      <xdr:nvSpPr>
        <xdr:cNvPr id="8" name="Flowchart: Alternate Process 7">
          <a:extLst>
            <a:ext uri="{FF2B5EF4-FFF2-40B4-BE49-F238E27FC236}">
              <a16:creationId xmlns:a16="http://schemas.microsoft.com/office/drawing/2014/main" id="{467A6573-3770-47FD-BAFE-9DE76AC28321}"/>
            </a:ext>
          </a:extLst>
        </xdr:cNvPr>
        <xdr:cNvSpPr/>
      </xdr:nvSpPr>
      <xdr:spPr>
        <a:xfrm>
          <a:off x="3339629" y="724369"/>
          <a:ext cx="1288815" cy="846668"/>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251435</xdr:colOff>
      <xdr:row>0</xdr:row>
      <xdr:rowOff>54734</xdr:rowOff>
    </xdr:from>
    <xdr:to>
      <xdr:col>12</xdr:col>
      <xdr:colOff>700424</xdr:colOff>
      <xdr:row>8</xdr:row>
      <xdr:rowOff>100061</xdr:rowOff>
    </xdr:to>
    <xdr:sp macro="" textlink="">
      <xdr:nvSpPr>
        <xdr:cNvPr id="9" name="Flowchart: Alternate Process 8">
          <a:extLst>
            <a:ext uri="{FF2B5EF4-FFF2-40B4-BE49-F238E27FC236}">
              <a16:creationId xmlns:a16="http://schemas.microsoft.com/office/drawing/2014/main" id="{20968047-110B-4DFB-A2CF-55813F4313D2}"/>
            </a:ext>
          </a:extLst>
        </xdr:cNvPr>
        <xdr:cNvSpPr/>
      </xdr:nvSpPr>
      <xdr:spPr>
        <a:xfrm>
          <a:off x="6393617" y="54734"/>
          <a:ext cx="1665110" cy="1523145"/>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169331</xdr:colOff>
      <xdr:row>9</xdr:row>
      <xdr:rowOff>18811</xdr:rowOff>
    </xdr:from>
    <xdr:to>
      <xdr:col>7</xdr:col>
      <xdr:colOff>282222</xdr:colOff>
      <xdr:row>11</xdr:row>
      <xdr:rowOff>169333</xdr:rowOff>
    </xdr:to>
    <xdr:sp macro="" textlink="">
      <xdr:nvSpPr>
        <xdr:cNvPr id="10" name="Flowchart: Alternate Process 9">
          <a:extLst>
            <a:ext uri="{FF2B5EF4-FFF2-40B4-BE49-F238E27FC236}">
              <a16:creationId xmlns:a16="http://schemas.microsoft.com/office/drawing/2014/main" id="{C361805C-4087-4489-B868-51B17C79E847}"/>
            </a:ext>
          </a:extLst>
        </xdr:cNvPr>
        <xdr:cNvSpPr/>
      </xdr:nvSpPr>
      <xdr:spPr>
        <a:xfrm>
          <a:off x="780812" y="1627478"/>
          <a:ext cx="3838225" cy="508003"/>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155645</xdr:colOff>
      <xdr:row>12</xdr:row>
      <xdr:rowOff>14535</xdr:rowOff>
    </xdr:from>
    <xdr:to>
      <xdr:col>7</xdr:col>
      <xdr:colOff>315575</xdr:colOff>
      <xdr:row>19</xdr:row>
      <xdr:rowOff>118020</xdr:rowOff>
    </xdr:to>
    <xdr:sp macro="" textlink="">
      <xdr:nvSpPr>
        <xdr:cNvPr id="11" name="Flowchart: Alternate Process 10">
          <a:extLst>
            <a:ext uri="{FF2B5EF4-FFF2-40B4-BE49-F238E27FC236}">
              <a16:creationId xmlns:a16="http://schemas.microsoft.com/office/drawing/2014/main" id="{45B7159E-B13B-4A34-9BB4-49F939CB8743}"/>
            </a:ext>
          </a:extLst>
        </xdr:cNvPr>
        <xdr:cNvSpPr>
          <a:spLocks noChangeAspect="1"/>
        </xdr:cNvSpPr>
      </xdr:nvSpPr>
      <xdr:spPr>
        <a:xfrm>
          <a:off x="763706" y="2231262"/>
          <a:ext cx="3869869" cy="1396576"/>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endParaRPr lang="en-IN" sz="1100"/>
        </a:p>
      </xdr:txBody>
    </xdr:sp>
    <xdr:clientData/>
  </xdr:twoCellAnchor>
  <xdr:twoCellAnchor editAs="absolute">
    <xdr:from>
      <xdr:col>7</xdr:col>
      <xdr:colOff>348073</xdr:colOff>
      <xdr:row>0</xdr:row>
      <xdr:rowOff>65851</xdr:rowOff>
    </xdr:from>
    <xdr:to>
      <xdr:col>10</xdr:col>
      <xdr:colOff>169333</xdr:colOff>
      <xdr:row>8</xdr:row>
      <xdr:rowOff>112889</xdr:rowOff>
    </xdr:to>
    <xdr:sp macro="" textlink="">
      <xdr:nvSpPr>
        <xdr:cNvPr id="14" name="Flowchart: Alternate Process 13">
          <a:extLst>
            <a:ext uri="{FF2B5EF4-FFF2-40B4-BE49-F238E27FC236}">
              <a16:creationId xmlns:a16="http://schemas.microsoft.com/office/drawing/2014/main" id="{FE264E0B-729B-4BEF-82D6-93A508A0F852}"/>
            </a:ext>
          </a:extLst>
        </xdr:cNvPr>
        <xdr:cNvSpPr/>
      </xdr:nvSpPr>
      <xdr:spPr>
        <a:xfrm>
          <a:off x="4684888" y="65851"/>
          <a:ext cx="1655704" cy="1476964"/>
        </a:xfrm>
        <a:prstGeom prst="flowChartAlternateProcess">
          <a:avLst/>
        </a:prstGeom>
        <a:solidFill>
          <a:schemeClr val="bg2"/>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131704</xdr:colOff>
      <xdr:row>1</xdr:row>
      <xdr:rowOff>18812</xdr:rowOff>
    </xdr:from>
    <xdr:to>
      <xdr:col>5</xdr:col>
      <xdr:colOff>498593</xdr:colOff>
      <xdr:row>2</xdr:row>
      <xdr:rowOff>18814</xdr:rowOff>
    </xdr:to>
    <xdr:sp macro="" textlink="">
      <xdr:nvSpPr>
        <xdr:cNvPr id="24" name="TextBox 23">
          <a:extLst>
            <a:ext uri="{FF2B5EF4-FFF2-40B4-BE49-F238E27FC236}">
              <a16:creationId xmlns:a16="http://schemas.microsoft.com/office/drawing/2014/main" id="{7D9C20A9-4A27-4B04-B26F-F599E1818872}"/>
            </a:ext>
          </a:extLst>
        </xdr:cNvPr>
        <xdr:cNvSpPr txBox="1"/>
      </xdr:nvSpPr>
      <xdr:spPr>
        <a:xfrm>
          <a:off x="743185" y="197553"/>
          <a:ext cx="2869260" cy="17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latin typeface="Aparajita" panose="02020603050405020304" pitchFamily="18" charset="0"/>
              <a:cs typeface="Aparajita" panose="02020603050405020304" pitchFamily="18" charset="0"/>
            </a:rPr>
            <a:t>Hospital</a:t>
          </a:r>
          <a:r>
            <a:rPr lang="en-IN" sz="1600" baseline="0">
              <a:latin typeface="Aparajita" panose="02020603050405020304" pitchFamily="18" charset="0"/>
              <a:cs typeface="Aparajita" panose="02020603050405020304" pitchFamily="18" charset="0"/>
            </a:rPr>
            <a:t> Emergency Room Dashboard</a:t>
          </a:r>
          <a:endParaRPr lang="en-IN" sz="1600">
            <a:latin typeface="Aparajita" panose="02020603050405020304" pitchFamily="18" charset="0"/>
            <a:cs typeface="Aparajita" panose="02020603050405020304" pitchFamily="18" charset="0"/>
          </a:endParaRPr>
        </a:p>
      </xdr:txBody>
    </xdr:sp>
    <xdr:clientData/>
  </xdr:twoCellAnchor>
  <xdr:twoCellAnchor editAs="oneCell">
    <xdr:from>
      <xdr:col>0</xdr:col>
      <xdr:colOff>0</xdr:colOff>
      <xdr:row>0</xdr:row>
      <xdr:rowOff>75260</xdr:rowOff>
    </xdr:from>
    <xdr:to>
      <xdr:col>1</xdr:col>
      <xdr:colOff>338667</xdr:colOff>
      <xdr:row>3</xdr:row>
      <xdr:rowOff>65852</xdr:rowOff>
    </xdr:to>
    <xdr:pic>
      <xdr:nvPicPr>
        <xdr:cNvPr id="30" name="Picture 29">
          <a:extLst>
            <a:ext uri="{FF2B5EF4-FFF2-40B4-BE49-F238E27FC236}">
              <a16:creationId xmlns:a16="http://schemas.microsoft.com/office/drawing/2014/main" id="{881C1A7B-A9F8-49B2-8DC7-E7AAEA3D9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5260"/>
          <a:ext cx="950148" cy="526814"/>
        </a:xfrm>
        <a:prstGeom prst="rect">
          <a:avLst/>
        </a:prstGeom>
      </xdr:spPr>
    </xdr:pic>
    <xdr:clientData/>
  </xdr:twoCellAnchor>
  <xdr:twoCellAnchor>
    <xdr:from>
      <xdr:col>1</xdr:col>
      <xdr:colOff>225779</xdr:colOff>
      <xdr:row>2</xdr:row>
      <xdr:rowOff>9408</xdr:rowOff>
    </xdr:from>
    <xdr:to>
      <xdr:col>5</xdr:col>
      <xdr:colOff>141112</xdr:colOff>
      <xdr:row>3</xdr:row>
      <xdr:rowOff>94074</xdr:rowOff>
    </xdr:to>
    <xdr:sp macro="" textlink="">
      <xdr:nvSpPr>
        <xdr:cNvPr id="31" name="TextBox 30">
          <a:extLst>
            <a:ext uri="{FF2B5EF4-FFF2-40B4-BE49-F238E27FC236}">
              <a16:creationId xmlns:a16="http://schemas.microsoft.com/office/drawing/2014/main" id="{9344DCD6-900F-4C83-9498-695CD37C68AF}"/>
            </a:ext>
          </a:extLst>
        </xdr:cNvPr>
        <xdr:cNvSpPr txBox="1"/>
      </xdr:nvSpPr>
      <xdr:spPr>
        <a:xfrm>
          <a:off x="837260" y="366889"/>
          <a:ext cx="2417704" cy="26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Aparajita" panose="02020603050405020304" pitchFamily="18" charset="0"/>
              <a:cs typeface="Aparajita" panose="02020603050405020304" pitchFamily="18" charset="0"/>
            </a:rPr>
            <a:t>Monthly Report</a:t>
          </a:r>
        </a:p>
        <a:p>
          <a:endParaRPr lang="en-IN" sz="1100"/>
        </a:p>
      </xdr:txBody>
    </xdr:sp>
    <xdr:clientData/>
  </xdr:twoCellAnchor>
  <xdr:twoCellAnchor>
    <xdr:from>
      <xdr:col>0</xdr:col>
      <xdr:colOff>261697</xdr:colOff>
      <xdr:row>3</xdr:row>
      <xdr:rowOff>130848</xdr:rowOff>
    </xdr:from>
    <xdr:to>
      <xdr:col>4</xdr:col>
      <xdr:colOff>269394</xdr:colOff>
      <xdr:row>5</xdr:row>
      <xdr:rowOff>46182</xdr:rowOff>
    </xdr:to>
    <xdr:sp macro="" textlink="' Pivot Report'!A5">
      <xdr:nvSpPr>
        <xdr:cNvPr id="32" name="TextBox 31">
          <a:extLst>
            <a:ext uri="{FF2B5EF4-FFF2-40B4-BE49-F238E27FC236}">
              <a16:creationId xmlns:a16="http://schemas.microsoft.com/office/drawing/2014/main" id="{CCC81C94-079C-4429-9FCB-7E76BF46C286}"/>
            </a:ext>
          </a:extLst>
        </xdr:cNvPr>
        <xdr:cNvSpPr txBox="1"/>
      </xdr:nvSpPr>
      <xdr:spPr>
        <a:xfrm>
          <a:off x="261697" y="685030"/>
          <a:ext cx="2439939" cy="28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0CA0B2-08C7-4C63-92E5-354C3F3CBB99}" type="TxLink">
            <a:rPr lang="en-US" sz="1800" b="0" i="0" u="none" strike="noStrike">
              <a:solidFill>
                <a:srgbClr val="000000"/>
              </a:solidFill>
              <a:latin typeface="Calibri"/>
              <a:ea typeface="Calibri"/>
              <a:cs typeface="Calibri"/>
            </a:rPr>
            <a:pPr algn="ctr"/>
            <a:t>494</a:t>
          </a:fld>
          <a:endParaRPr lang="en-IN" sz="1800"/>
        </a:p>
      </xdr:txBody>
    </xdr:sp>
    <xdr:clientData/>
  </xdr:twoCellAnchor>
  <xdr:twoCellAnchor>
    <xdr:from>
      <xdr:col>0</xdr:col>
      <xdr:colOff>268539</xdr:colOff>
      <xdr:row>4</xdr:row>
      <xdr:rowOff>170187</xdr:rowOff>
    </xdr:from>
    <xdr:to>
      <xdr:col>4</xdr:col>
      <xdr:colOff>240317</xdr:colOff>
      <xdr:row>6</xdr:row>
      <xdr:rowOff>76113</xdr:rowOff>
    </xdr:to>
    <xdr:sp macro="" textlink="">
      <xdr:nvSpPr>
        <xdr:cNvPr id="33" name="TextBox 32">
          <a:extLst>
            <a:ext uri="{FF2B5EF4-FFF2-40B4-BE49-F238E27FC236}">
              <a16:creationId xmlns:a16="http://schemas.microsoft.com/office/drawing/2014/main" id="{43E0CBE5-C7AA-488C-B90C-B7926132CB33}"/>
            </a:ext>
          </a:extLst>
        </xdr:cNvPr>
        <xdr:cNvSpPr txBox="1"/>
      </xdr:nvSpPr>
      <xdr:spPr>
        <a:xfrm>
          <a:off x="268539" y="909096"/>
          <a:ext cx="2404020" cy="275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parajita" panose="02020603050405020304" pitchFamily="18" charset="0"/>
              <a:cs typeface="Aparajita" panose="02020603050405020304" pitchFamily="18" charset="0"/>
            </a:rPr>
            <a:t>No.</a:t>
          </a:r>
          <a:r>
            <a:rPr lang="en-IN" sz="1050" baseline="0">
              <a:latin typeface="Aparajita" panose="02020603050405020304" pitchFamily="18" charset="0"/>
              <a:cs typeface="Aparajita" panose="02020603050405020304" pitchFamily="18" charset="0"/>
            </a:rPr>
            <a:t> of Patient</a:t>
          </a:r>
          <a:endParaRPr lang="en-IN" sz="1050">
            <a:latin typeface="Aparajita" panose="02020603050405020304" pitchFamily="18" charset="0"/>
            <a:cs typeface="Aparajita" panose="02020603050405020304" pitchFamily="18" charset="0"/>
          </a:endParaRPr>
        </a:p>
        <a:p>
          <a:endParaRPr lang="en-IN" sz="1100"/>
        </a:p>
      </xdr:txBody>
    </xdr:sp>
    <xdr:clientData/>
  </xdr:twoCellAnchor>
  <xdr:twoCellAnchor>
    <xdr:from>
      <xdr:col>2</xdr:col>
      <xdr:colOff>357482</xdr:colOff>
      <xdr:row>3</xdr:row>
      <xdr:rowOff>171899</xdr:rowOff>
    </xdr:from>
    <xdr:to>
      <xdr:col>6</xdr:col>
      <xdr:colOff>267684</xdr:colOff>
      <xdr:row>5</xdr:row>
      <xdr:rowOff>71838</xdr:rowOff>
    </xdr:to>
    <xdr:sp macro="" textlink="' Pivot Report'!A9">
      <xdr:nvSpPr>
        <xdr:cNvPr id="34" name="TextBox 33">
          <a:extLst>
            <a:ext uri="{FF2B5EF4-FFF2-40B4-BE49-F238E27FC236}">
              <a16:creationId xmlns:a16="http://schemas.microsoft.com/office/drawing/2014/main" id="{515CFBC3-796A-41A1-8E05-8089BFB3A7B5}"/>
            </a:ext>
          </a:extLst>
        </xdr:cNvPr>
        <xdr:cNvSpPr txBox="1"/>
      </xdr:nvSpPr>
      <xdr:spPr>
        <a:xfrm>
          <a:off x="1573603" y="726081"/>
          <a:ext cx="2404020" cy="269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9D49F9-00D9-4E7A-9C13-A43FCF37C539}" type="TxLink">
            <a:rPr lang="en-US" sz="1800" b="0" i="0" u="none" strike="noStrike">
              <a:solidFill>
                <a:srgbClr val="000000"/>
              </a:solidFill>
              <a:latin typeface="Calibri"/>
              <a:ea typeface="Calibri"/>
              <a:cs typeface="Calibri"/>
            </a:rPr>
            <a:pPr algn="ctr"/>
            <a:t>36.39</a:t>
          </a:fld>
          <a:endParaRPr lang="en-IN" sz="1800"/>
        </a:p>
      </xdr:txBody>
    </xdr:sp>
    <xdr:clientData/>
  </xdr:twoCellAnchor>
  <xdr:twoCellAnchor>
    <xdr:from>
      <xdr:col>2</xdr:col>
      <xdr:colOff>307023</xdr:colOff>
      <xdr:row>5</xdr:row>
      <xdr:rowOff>54734</xdr:rowOff>
    </xdr:from>
    <xdr:to>
      <xdr:col>6</xdr:col>
      <xdr:colOff>107758</xdr:colOff>
      <xdr:row>6</xdr:row>
      <xdr:rowOff>145387</xdr:rowOff>
    </xdr:to>
    <xdr:sp macro="" textlink="">
      <xdr:nvSpPr>
        <xdr:cNvPr id="35" name="TextBox 34">
          <a:extLst>
            <a:ext uri="{FF2B5EF4-FFF2-40B4-BE49-F238E27FC236}">
              <a16:creationId xmlns:a16="http://schemas.microsoft.com/office/drawing/2014/main" id="{97E10E0A-61F6-4C62-8E94-101B5599EB75}"/>
            </a:ext>
          </a:extLst>
        </xdr:cNvPr>
        <xdr:cNvSpPr txBox="1"/>
      </xdr:nvSpPr>
      <xdr:spPr>
        <a:xfrm>
          <a:off x="1523144" y="978370"/>
          <a:ext cx="2294553" cy="275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parajita" panose="02020603050405020304" pitchFamily="18" charset="0"/>
              <a:cs typeface="Aparajita" panose="02020603050405020304" pitchFamily="18" charset="0"/>
            </a:rPr>
            <a:t>Average</a:t>
          </a:r>
          <a:r>
            <a:rPr lang="en-IN" sz="1050" baseline="0">
              <a:latin typeface="Aparajita" panose="02020603050405020304" pitchFamily="18" charset="0"/>
              <a:cs typeface="Aparajita" panose="02020603050405020304" pitchFamily="18" charset="0"/>
            </a:rPr>
            <a:t> Wait Time</a:t>
          </a:r>
          <a:endParaRPr lang="en-IN" sz="1050">
            <a:latin typeface="Aparajita" panose="02020603050405020304" pitchFamily="18" charset="0"/>
            <a:cs typeface="Aparajita" panose="02020603050405020304" pitchFamily="18" charset="0"/>
          </a:endParaRPr>
        </a:p>
        <a:p>
          <a:endParaRPr lang="en-IN" sz="1050"/>
        </a:p>
      </xdr:txBody>
    </xdr:sp>
    <xdr:clientData/>
  </xdr:twoCellAnchor>
  <xdr:twoCellAnchor>
    <xdr:from>
      <xdr:col>4</xdr:col>
      <xdr:colOff>372878</xdr:colOff>
      <xdr:row>4</xdr:row>
      <xdr:rowOff>15395</xdr:rowOff>
    </xdr:from>
    <xdr:to>
      <xdr:col>8</xdr:col>
      <xdr:colOff>283079</xdr:colOff>
      <xdr:row>5</xdr:row>
      <xdr:rowOff>125718</xdr:rowOff>
    </xdr:to>
    <xdr:sp macro="" textlink="' Pivot Report'!A13">
      <xdr:nvSpPr>
        <xdr:cNvPr id="36" name="TextBox 35">
          <a:extLst>
            <a:ext uri="{FF2B5EF4-FFF2-40B4-BE49-F238E27FC236}">
              <a16:creationId xmlns:a16="http://schemas.microsoft.com/office/drawing/2014/main" id="{370F676C-08A6-41C7-A30B-A3004DC8AE72}"/>
            </a:ext>
          </a:extLst>
        </xdr:cNvPr>
        <xdr:cNvSpPr txBox="1"/>
      </xdr:nvSpPr>
      <xdr:spPr>
        <a:xfrm>
          <a:off x="2805120" y="754304"/>
          <a:ext cx="2404020" cy="29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24FDD6-EF0D-44D7-837D-145DA479FC57}" type="TxLink">
            <a:rPr lang="en-US" sz="1800" b="0" i="0" u="none" strike="noStrike">
              <a:solidFill>
                <a:srgbClr val="000000"/>
              </a:solidFill>
              <a:latin typeface="Calibri"/>
              <a:ea typeface="Calibri"/>
              <a:cs typeface="Calibri"/>
            </a:rPr>
            <a:pPr algn="ctr"/>
            <a:t>5.06</a:t>
          </a:fld>
          <a:endParaRPr lang="en-IN" sz="1800"/>
        </a:p>
      </xdr:txBody>
    </xdr:sp>
    <xdr:clientData/>
  </xdr:twoCellAnchor>
  <xdr:twoCellAnchor>
    <xdr:from>
      <xdr:col>4</xdr:col>
      <xdr:colOff>322419</xdr:colOff>
      <xdr:row>6</xdr:row>
      <xdr:rowOff>16248</xdr:rowOff>
    </xdr:from>
    <xdr:to>
      <xdr:col>8</xdr:col>
      <xdr:colOff>232620</xdr:colOff>
      <xdr:row>8</xdr:row>
      <xdr:rowOff>30789</xdr:rowOff>
    </xdr:to>
    <xdr:sp macro="" textlink="">
      <xdr:nvSpPr>
        <xdr:cNvPr id="37" name="TextBox 36">
          <a:extLst>
            <a:ext uri="{FF2B5EF4-FFF2-40B4-BE49-F238E27FC236}">
              <a16:creationId xmlns:a16="http://schemas.microsoft.com/office/drawing/2014/main" id="{61416C54-DCC6-4F8A-95DB-7AEDD8F12297}"/>
            </a:ext>
          </a:extLst>
        </xdr:cNvPr>
        <xdr:cNvSpPr txBox="1"/>
      </xdr:nvSpPr>
      <xdr:spPr>
        <a:xfrm>
          <a:off x="2754661" y="1124612"/>
          <a:ext cx="2404020" cy="383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parajita" panose="02020603050405020304" pitchFamily="18" charset="0"/>
              <a:cs typeface="Aparajita" panose="02020603050405020304" pitchFamily="18" charset="0"/>
            </a:rPr>
            <a:t>Patient</a:t>
          </a:r>
          <a:r>
            <a:rPr lang="en-IN" sz="1050" baseline="0">
              <a:latin typeface="Aparajita" panose="02020603050405020304" pitchFamily="18" charset="0"/>
              <a:cs typeface="Aparajita" panose="02020603050405020304" pitchFamily="18" charset="0"/>
            </a:rPr>
            <a:t> Satisfaction Score</a:t>
          </a:r>
          <a:endParaRPr lang="en-IN" sz="1050">
            <a:latin typeface="Aparajita" panose="02020603050405020304" pitchFamily="18" charset="0"/>
            <a:cs typeface="Aparajita" panose="02020603050405020304" pitchFamily="18" charset="0"/>
          </a:endParaRPr>
        </a:p>
        <a:p>
          <a:endParaRPr lang="en-IN" sz="1050"/>
        </a:p>
      </xdr:txBody>
    </xdr:sp>
    <xdr:clientData/>
  </xdr:twoCellAnchor>
  <xdr:twoCellAnchor editAs="oneCell">
    <xdr:from>
      <xdr:col>1</xdr:col>
      <xdr:colOff>161637</xdr:colOff>
      <xdr:row>4</xdr:row>
      <xdr:rowOff>15395</xdr:rowOff>
    </xdr:from>
    <xdr:to>
      <xdr:col>1</xdr:col>
      <xdr:colOff>561878</xdr:colOff>
      <xdr:row>6</xdr:row>
      <xdr:rowOff>4364</xdr:rowOff>
    </xdr:to>
    <xdr:pic>
      <xdr:nvPicPr>
        <xdr:cNvPr id="47" name="Graphic 46" descr="User">
          <a:extLst>
            <a:ext uri="{FF2B5EF4-FFF2-40B4-BE49-F238E27FC236}">
              <a16:creationId xmlns:a16="http://schemas.microsoft.com/office/drawing/2014/main" id="{53C9E92E-6AD9-47EE-AA73-97170D01D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69698" y="754304"/>
          <a:ext cx="400241" cy="358424"/>
        </a:xfrm>
        <a:prstGeom prst="rect">
          <a:avLst/>
        </a:prstGeom>
      </xdr:spPr>
    </xdr:pic>
    <xdr:clientData/>
  </xdr:twoCellAnchor>
  <xdr:twoCellAnchor editAs="oneCell">
    <xdr:from>
      <xdr:col>3</xdr:col>
      <xdr:colOff>261696</xdr:colOff>
      <xdr:row>4</xdr:row>
      <xdr:rowOff>23091</xdr:rowOff>
    </xdr:from>
    <xdr:to>
      <xdr:col>4</xdr:col>
      <xdr:colOff>61575</xdr:colOff>
      <xdr:row>5</xdr:row>
      <xdr:rowOff>128454</xdr:rowOff>
    </xdr:to>
    <xdr:pic>
      <xdr:nvPicPr>
        <xdr:cNvPr id="49" name="Graphic 48" descr="Hourglass">
          <a:extLst>
            <a:ext uri="{FF2B5EF4-FFF2-40B4-BE49-F238E27FC236}">
              <a16:creationId xmlns:a16="http://schemas.microsoft.com/office/drawing/2014/main" id="{CDB2C03E-69D0-4AD1-BCA4-C6499ACEF6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085878" y="762000"/>
          <a:ext cx="407939" cy="290090"/>
        </a:xfrm>
        <a:prstGeom prst="rect">
          <a:avLst/>
        </a:prstGeom>
      </xdr:spPr>
    </xdr:pic>
    <xdr:clientData/>
  </xdr:twoCellAnchor>
  <xdr:twoCellAnchor editAs="oneCell">
    <xdr:from>
      <xdr:col>5</xdr:col>
      <xdr:colOff>292486</xdr:colOff>
      <xdr:row>4</xdr:row>
      <xdr:rowOff>46183</xdr:rowOff>
    </xdr:from>
    <xdr:to>
      <xdr:col>6</xdr:col>
      <xdr:colOff>23092</xdr:colOff>
      <xdr:row>6</xdr:row>
      <xdr:rowOff>15394</xdr:rowOff>
    </xdr:to>
    <xdr:pic>
      <xdr:nvPicPr>
        <xdr:cNvPr id="51" name="Graphic 50" descr="Customer review RTL">
          <a:extLst>
            <a:ext uri="{FF2B5EF4-FFF2-40B4-BE49-F238E27FC236}">
              <a16:creationId xmlns:a16="http://schemas.microsoft.com/office/drawing/2014/main" id="{E7FD708B-6350-4DA6-9B5E-96E049F71BE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394365" y="785092"/>
          <a:ext cx="338666" cy="338666"/>
        </a:xfrm>
        <a:prstGeom prst="rect">
          <a:avLst/>
        </a:prstGeom>
      </xdr:spPr>
    </xdr:pic>
    <xdr:clientData/>
  </xdr:twoCellAnchor>
  <xdr:twoCellAnchor editAs="oneCell">
    <xdr:from>
      <xdr:col>0</xdr:col>
      <xdr:colOff>84666</xdr:colOff>
      <xdr:row>4</xdr:row>
      <xdr:rowOff>38485</xdr:rowOff>
    </xdr:from>
    <xdr:to>
      <xdr:col>1</xdr:col>
      <xdr:colOff>104710</xdr:colOff>
      <xdr:row>19</xdr:row>
      <xdr:rowOff>61576</xdr:rowOff>
    </xdr:to>
    <mc:AlternateContent xmlns:mc="http://schemas.openxmlformats.org/markup-compatibility/2006">
      <mc:Choice xmlns:a14="http://schemas.microsoft.com/office/drawing/2010/main" Requires="a14">
        <xdr:graphicFrame macro="">
          <xdr:nvGraphicFramePr>
            <xdr:cNvPr id="28" name="Date (Month)">
              <a:extLst>
                <a:ext uri="{FF2B5EF4-FFF2-40B4-BE49-F238E27FC236}">
                  <a16:creationId xmlns:a16="http://schemas.microsoft.com/office/drawing/2014/main" id="{03127F69-5EF2-4325-AAB0-AEA03CFF076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84666" y="770005"/>
              <a:ext cx="629644" cy="2766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53877</xdr:colOff>
      <xdr:row>5</xdr:row>
      <xdr:rowOff>107757</xdr:rowOff>
    </xdr:from>
    <xdr:to>
      <xdr:col>3</xdr:col>
      <xdr:colOff>177029</xdr:colOff>
      <xdr:row>8</xdr:row>
      <xdr:rowOff>161636</xdr:rowOff>
    </xdr:to>
    <xdr:graphicFrame macro="">
      <xdr:nvGraphicFramePr>
        <xdr:cNvPr id="29" name="Chart 28">
          <a:hlinkClick xmlns:r="http://schemas.openxmlformats.org/officeDocument/2006/relationships" r:id="rId8"/>
          <a:extLst>
            <a:ext uri="{FF2B5EF4-FFF2-40B4-BE49-F238E27FC236}">
              <a16:creationId xmlns:a16="http://schemas.microsoft.com/office/drawing/2014/main" id="{497F8463-21D2-4B17-A7F0-0856258A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184727</xdr:colOff>
      <xdr:row>6</xdr:row>
      <xdr:rowOff>38485</xdr:rowOff>
    </xdr:from>
    <xdr:to>
      <xdr:col>5</xdr:col>
      <xdr:colOff>207818</xdr:colOff>
      <xdr:row>9</xdr:row>
      <xdr:rowOff>76972</xdr:rowOff>
    </xdr:to>
    <xdr:graphicFrame macro="">
      <xdr:nvGraphicFramePr>
        <xdr:cNvPr id="40" name="Chart 39">
          <a:hlinkClick xmlns:r="http://schemas.openxmlformats.org/officeDocument/2006/relationships" r:id="rId10"/>
          <a:extLst>
            <a:ext uri="{FF2B5EF4-FFF2-40B4-BE49-F238E27FC236}">
              <a16:creationId xmlns:a16="http://schemas.microsoft.com/office/drawing/2014/main" id="{1369B7ED-109E-4A4D-A62D-BEB45B905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192424</xdr:colOff>
      <xdr:row>6</xdr:row>
      <xdr:rowOff>53878</xdr:rowOff>
    </xdr:from>
    <xdr:to>
      <xdr:col>7</xdr:col>
      <xdr:colOff>330971</xdr:colOff>
      <xdr:row>9</xdr:row>
      <xdr:rowOff>69272</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919489A0-4F8E-4289-9DF2-438ECED46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192423</xdr:colOff>
          <xdr:row>9</xdr:row>
          <xdr:rowOff>24121</xdr:rowOff>
        </xdr:from>
        <xdr:to>
          <xdr:col>7</xdr:col>
          <xdr:colOff>269393</xdr:colOff>
          <xdr:row>11</xdr:row>
          <xdr:rowOff>161636</xdr:rowOff>
        </xdr:to>
        <xdr:pic>
          <xdr:nvPicPr>
            <xdr:cNvPr id="57" name="Picture 56">
              <a:extLst>
                <a:ext uri="{FF2B5EF4-FFF2-40B4-BE49-F238E27FC236}">
                  <a16:creationId xmlns:a16="http://schemas.microsoft.com/office/drawing/2014/main" id="{0D42C27D-8C5B-45F9-A4AD-7465C0F9EC92}"/>
                </a:ext>
              </a:extLst>
            </xdr:cNvPr>
            <xdr:cNvPicPr>
              <a:picLocks noChangeAspect="1" noChangeArrowheads="1"/>
              <a:extLst>
                <a:ext uri="{84589F7E-364E-4C9E-8A38-B11213B215E9}">
                  <a14:cameraTool cellRange="' Pivot Report'!$A$48:$D$50" spid="_x0000_s1044"/>
                </a:ext>
              </a:extLst>
            </xdr:cNvPicPr>
          </xdr:nvPicPr>
          <xdr:blipFill>
            <a:blip xmlns:r="http://schemas.openxmlformats.org/officeDocument/2006/relationships" r:embed="rId14"/>
            <a:srcRect/>
            <a:stretch>
              <a:fillRect/>
            </a:stretch>
          </xdr:blipFill>
          <xdr:spPr bwMode="auto">
            <a:xfrm>
              <a:off x="800484" y="1686666"/>
              <a:ext cx="3786909" cy="506970"/>
            </a:xfrm>
            <a:prstGeom prst="rect">
              <a:avLst/>
            </a:prstGeom>
            <a:ln w="127000" cap="sq">
              <a:noFill/>
              <a:miter lim="800000"/>
            </a:ln>
            <a:effectLst>
              <a:outerShdw blurRad="1270000" dist="50800" dir="1440000" algn="tl" rotWithShape="0">
                <a:schemeClr val="bg1">
                  <a:alpha val="0"/>
                </a:schemeClr>
              </a:outerShdw>
            </a:effectLst>
            <a:extLst>
              <a:ext uri="{909E8E84-426E-40DD-AFC4-6F175D3DCCD1}">
                <a14:hiddenFill>
                  <a:solidFill>
                    <a:srgbClr val="FFFFFF"/>
                  </a:solidFill>
                </a14:hiddenFill>
              </a:ext>
            </a:extLst>
          </xdr:spPr>
        </xdr:pic>
        <xdr:clientData/>
      </xdr:twoCellAnchor>
    </mc:Choice>
    <mc:Fallback/>
  </mc:AlternateContent>
  <xdr:twoCellAnchor>
    <xdr:from>
      <xdr:col>0</xdr:col>
      <xdr:colOff>569575</xdr:colOff>
      <xdr:row>12</xdr:row>
      <xdr:rowOff>15395</xdr:rowOff>
    </xdr:from>
    <xdr:to>
      <xdr:col>7</xdr:col>
      <xdr:colOff>484908</xdr:colOff>
      <xdr:row>18</xdr:row>
      <xdr:rowOff>130849</xdr:rowOff>
    </xdr:to>
    <xdr:graphicFrame macro="">
      <xdr:nvGraphicFramePr>
        <xdr:cNvPr id="58" name="Chart 57">
          <a:extLst>
            <a:ext uri="{FF2B5EF4-FFF2-40B4-BE49-F238E27FC236}">
              <a16:creationId xmlns:a16="http://schemas.microsoft.com/office/drawing/2014/main" id="{6EB40DDA-5F61-400B-9C38-F191CF1F0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0</xdr:col>
      <xdr:colOff>223211</xdr:colOff>
      <xdr:row>18</xdr:row>
      <xdr:rowOff>38485</xdr:rowOff>
    </xdr:from>
    <xdr:ext cx="4872182" cy="246303"/>
    <xdr:sp macro="" textlink="">
      <xdr:nvSpPr>
        <xdr:cNvPr id="13" name="Rectangle 12">
          <a:extLst>
            <a:ext uri="{FF2B5EF4-FFF2-40B4-BE49-F238E27FC236}">
              <a16:creationId xmlns:a16="http://schemas.microsoft.com/office/drawing/2014/main" id="{CDD21310-CD87-4567-8809-3B0402826158}"/>
            </a:ext>
          </a:extLst>
        </xdr:cNvPr>
        <xdr:cNvSpPr/>
      </xdr:nvSpPr>
      <xdr:spPr>
        <a:xfrm>
          <a:off x="223211" y="3363576"/>
          <a:ext cx="4872182" cy="246303"/>
        </a:xfrm>
        <a:prstGeom prst="rect">
          <a:avLst/>
        </a:prstGeom>
        <a:noFill/>
      </xdr:spPr>
      <xdr:txBody>
        <a:bodyPr wrap="none" lIns="91440" tIns="45720" rIns="91440" bIns="45720">
          <a:noAutofit/>
        </a:bodyPr>
        <a:lstStyle/>
        <a:p>
          <a:pPr algn="ctr"/>
          <a:r>
            <a:rPr lang="en-US" sz="1000" b="0" cap="none" spc="0">
              <a:ln w="0"/>
              <a:solidFill>
                <a:schemeClr val="tx1"/>
              </a:solidFill>
              <a:effectLst>
                <a:outerShdw blurRad="38100" dist="19050" dir="2700000" algn="tl" rotWithShape="0">
                  <a:schemeClr val="dk1">
                    <a:alpha val="40000"/>
                  </a:schemeClr>
                </a:outerShdw>
              </a:effectLst>
              <a:latin typeface="+mj-lt"/>
              <a:cs typeface="Aparajita" panose="02020603050405020304" pitchFamily="18" charset="0"/>
            </a:rPr>
            <a:t>No.</a:t>
          </a:r>
          <a:r>
            <a:rPr lang="en-US" sz="1000" b="0" cap="none" spc="0" baseline="0">
              <a:ln w="0"/>
              <a:solidFill>
                <a:schemeClr val="tx1"/>
              </a:solidFill>
              <a:effectLst>
                <a:outerShdw blurRad="38100" dist="19050" dir="2700000" algn="tl" rotWithShape="0">
                  <a:schemeClr val="dk1">
                    <a:alpha val="40000"/>
                  </a:schemeClr>
                </a:outerShdw>
              </a:effectLst>
              <a:latin typeface="+mj-lt"/>
              <a:cs typeface="Aparajita" panose="02020603050405020304" pitchFamily="18" charset="0"/>
            </a:rPr>
            <a:t> of Patient by Age group</a:t>
          </a:r>
          <a:endParaRPr lang="en-US" sz="1000" b="0" cap="none" spc="0">
            <a:ln w="0"/>
            <a:solidFill>
              <a:schemeClr val="tx1"/>
            </a:solidFill>
            <a:effectLst>
              <a:outerShdw blurRad="38100" dist="19050" dir="2700000" algn="tl" rotWithShape="0">
                <a:schemeClr val="dk1">
                  <a:alpha val="40000"/>
                </a:schemeClr>
              </a:outerShdw>
            </a:effectLst>
            <a:latin typeface="+mj-lt"/>
            <a:cs typeface="Aparajita" panose="02020603050405020304" pitchFamily="18" charset="0"/>
          </a:endParaRPr>
        </a:p>
      </xdr:txBody>
    </xdr:sp>
    <xdr:clientData/>
  </xdr:oneCellAnchor>
  <xdr:twoCellAnchor>
    <xdr:from>
      <xdr:col>7</xdr:col>
      <xdr:colOff>326693</xdr:colOff>
      <xdr:row>0</xdr:row>
      <xdr:rowOff>15395</xdr:rowOff>
    </xdr:from>
    <xdr:to>
      <xdr:col>10</xdr:col>
      <xdr:colOff>254001</xdr:colOff>
      <xdr:row>10</xdr:row>
      <xdr:rowOff>92364</xdr:rowOff>
    </xdr:to>
    <xdr:graphicFrame macro="">
      <xdr:nvGraphicFramePr>
        <xdr:cNvPr id="60" name="Chart 59">
          <a:extLst>
            <a:ext uri="{FF2B5EF4-FFF2-40B4-BE49-F238E27FC236}">
              <a16:creationId xmlns:a16="http://schemas.microsoft.com/office/drawing/2014/main" id="{56C9E53E-3E2F-4A6E-A858-010A04D1B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546486</xdr:colOff>
      <xdr:row>7</xdr:row>
      <xdr:rowOff>76970</xdr:rowOff>
    </xdr:from>
    <xdr:to>
      <xdr:col>10</xdr:col>
      <xdr:colOff>130850</xdr:colOff>
      <xdr:row>8</xdr:row>
      <xdr:rowOff>107758</xdr:rowOff>
    </xdr:to>
    <xdr:sp macro="" textlink="">
      <xdr:nvSpPr>
        <xdr:cNvPr id="15" name="TextBox 14">
          <a:extLst>
            <a:ext uri="{FF2B5EF4-FFF2-40B4-BE49-F238E27FC236}">
              <a16:creationId xmlns:a16="http://schemas.microsoft.com/office/drawing/2014/main" id="{61AE5176-3301-4CC3-8DF5-ECE3D5911C6C}"/>
            </a:ext>
          </a:extLst>
        </xdr:cNvPr>
        <xdr:cNvSpPr txBox="1"/>
      </xdr:nvSpPr>
      <xdr:spPr>
        <a:xfrm>
          <a:off x="4864486" y="1370061"/>
          <a:ext cx="1408546" cy="21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patient</a:t>
          </a:r>
          <a:r>
            <a:rPr lang="en-IN" sz="1000" baseline="0"/>
            <a:t> Attend Status</a:t>
          </a:r>
          <a:endParaRPr lang="en-IN" sz="1000"/>
        </a:p>
      </xdr:txBody>
    </xdr:sp>
    <xdr:clientData/>
  </xdr:twoCellAnchor>
  <xdr:twoCellAnchor>
    <xdr:from>
      <xdr:col>9</xdr:col>
      <xdr:colOff>354061</xdr:colOff>
      <xdr:row>0</xdr:row>
      <xdr:rowOff>23091</xdr:rowOff>
    </xdr:from>
    <xdr:to>
      <xdr:col>12</xdr:col>
      <xdr:colOff>1085273</xdr:colOff>
      <xdr:row>9</xdr:row>
      <xdr:rowOff>115455</xdr:rowOff>
    </xdr:to>
    <xdr:graphicFrame macro="">
      <xdr:nvGraphicFramePr>
        <xdr:cNvPr id="61" name="Chart 60">
          <a:extLst>
            <a:ext uri="{FF2B5EF4-FFF2-40B4-BE49-F238E27FC236}">
              <a16:creationId xmlns:a16="http://schemas.microsoft.com/office/drawing/2014/main" id="{74F4C048-53D2-40DF-A89F-60D7A41B0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431030</xdr:colOff>
      <xdr:row>7</xdr:row>
      <xdr:rowOff>61576</xdr:rowOff>
    </xdr:from>
    <xdr:to>
      <xdr:col>12</xdr:col>
      <xdr:colOff>554182</xdr:colOff>
      <xdr:row>8</xdr:row>
      <xdr:rowOff>84667</xdr:rowOff>
    </xdr:to>
    <xdr:sp macro="" textlink="">
      <xdr:nvSpPr>
        <xdr:cNvPr id="16" name="TextBox 15">
          <a:extLst>
            <a:ext uri="{FF2B5EF4-FFF2-40B4-BE49-F238E27FC236}">
              <a16:creationId xmlns:a16="http://schemas.microsoft.com/office/drawing/2014/main" id="{01D5B695-8D55-47C2-9451-07C42B207971}"/>
            </a:ext>
          </a:extLst>
        </xdr:cNvPr>
        <xdr:cNvSpPr txBox="1"/>
      </xdr:nvSpPr>
      <xdr:spPr>
        <a:xfrm>
          <a:off x="6573212" y="1354667"/>
          <a:ext cx="1339273"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Gender Wise Analysis</a:t>
          </a:r>
        </a:p>
      </xdr:txBody>
    </xdr:sp>
    <xdr:clientData/>
  </xdr:twoCellAnchor>
  <xdr:twoCellAnchor>
    <xdr:from>
      <xdr:col>7</xdr:col>
      <xdr:colOff>349782</xdr:colOff>
      <xdr:row>8</xdr:row>
      <xdr:rowOff>29076</xdr:rowOff>
    </xdr:from>
    <xdr:to>
      <xdr:col>12</xdr:col>
      <xdr:colOff>523394</xdr:colOff>
      <xdr:row>20</xdr:row>
      <xdr:rowOff>0</xdr:rowOff>
    </xdr:to>
    <xdr:graphicFrame macro="">
      <xdr:nvGraphicFramePr>
        <xdr:cNvPr id="64" name="Chart 63">
          <a:extLst>
            <a:ext uri="{FF2B5EF4-FFF2-40B4-BE49-F238E27FC236}">
              <a16:creationId xmlns:a16="http://schemas.microsoft.com/office/drawing/2014/main" id="{CAA089A4-F041-465B-B9C2-B72F9F3BE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330968</xdr:colOff>
      <xdr:row>0</xdr:row>
      <xdr:rowOff>146240</xdr:rowOff>
    </xdr:from>
    <xdr:to>
      <xdr:col>7</xdr:col>
      <xdr:colOff>213360</xdr:colOff>
      <xdr:row>3</xdr:row>
      <xdr:rowOff>68580</xdr:rowOff>
    </xdr:to>
    <mc:AlternateContent xmlns:mc="http://schemas.openxmlformats.org/markup-compatibility/2006">
      <mc:Choice xmlns:a14="http://schemas.microsoft.com/office/drawing/2010/main" Requires="a14">
        <xdr:graphicFrame macro="">
          <xdr:nvGraphicFramePr>
            <xdr:cNvPr id="65" name="Date (Year)">
              <a:extLst>
                <a:ext uri="{FF2B5EF4-FFF2-40B4-BE49-F238E27FC236}">
                  <a16:creationId xmlns:a16="http://schemas.microsoft.com/office/drawing/2014/main" id="{465FDC97-EAB7-46CD-98F6-D162FC19F85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39928" y="146240"/>
              <a:ext cx="1101592" cy="47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238606</xdr:colOff>
      <xdr:row>18</xdr:row>
      <xdr:rowOff>69273</xdr:rowOff>
    </xdr:from>
    <xdr:to>
      <xdr:col>12</xdr:col>
      <xdr:colOff>569576</xdr:colOff>
      <xdr:row>19</xdr:row>
      <xdr:rowOff>76971</xdr:rowOff>
    </xdr:to>
    <xdr:sp macro="" textlink="">
      <xdr:nvSpPr>
        <xdr:cNvPr id="17" name="TextBox 16">
          <a:extLst>
            <a:ext uri="{FF2B5EF4-FFF2-40B4-BE49-F238E27FC236}">
              <a16:creationId xmlns:a16="http://schemas.microsoft.com/office/drawing/2014/main" id="{0861CA42-6B5C-4000-85D9-1F51D6E15565}"/>
            </a:ext>
          </a:extLst>
        </xdr:cNvPr>
        <xdr:cNvSpPr txBox="1"/>
      </xdr:nvSpPr>
      <xdr:spPr>
        <a:xfrm>
          <a:off x="5164667" y="3394364"/>
          <a:ext cx="2763212" cy="19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No. of Patient by</a:t>
          </a:r>
          <a:r>
            <a:rPr lang="en-IN" sz="1000" baseline="0"/>
            <a:t> Department Referal</a:t>
          </a:r>
          <a:endParaRPr lang="en-IN" sz="10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0.1123</cdr:x>
      <cdr:y>0.748</cdr:y>
    </cdr:from>
    <cdr:to>
      <cdr:x>0.89014</cdr:x>
      <cdr:y>0.808</cdr:y>
    </cdr:to>
    <cdr:sp macro="" textlink="">
      <cdr:nvSpPr>
        <cdr:cNvPr id="2" name="TextBox 1">
          <a:extLst xmlns:a="http://schemas.openxmlformats.org/drawingml/2006/main">
            <a:ext uri="{FF2B5EF4-FFF2-40B4-BE49-F238E27FC236}">
              <a16:creationId xmlns:a16="http://schemas.microsoft.com/office/drawing/2014/main" id="{CF36D4A6-96BA-499D-B6B3-A41EFA4F39E4}"/>
            </a:ext>
          </a:extLst>
        </cdr:cNvPr>
        <cdr:cNvSpPr txBox="1"/>
      </cdr:nvSpPr>
      <cdr:spPr>
        <a:xfrm xmlns:a="http://schemas.openxmlformats.org/drawingml/2006/main">
          <a:off x="196701" y="1439332"/>
          <a:ext cx="1362364" cy="1154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243840</xdr:colOff>
      <xdr:row>47</xdr:row>
      <xdr:rowOff>175260</xdr:rowOff>
    </xdr:from>
    <xdr:to>
      <xdr:col>4</xdr:col>
      <xdr:colOff>76200</xdr:colOff>
      <xdr:row>50</xdr:row>
      <xdr:rowOff>15240</xdr:rowOff>
    </xdr:to>
    <xdr:graphicFrame macro="">
      <xdr:nvGraphicFramePr>
        <xdr:cNvPr id="6" name="Chart 5">
          <a:extLst>
            <a:ext uri="{FF2B5EF4-FFF2-40B4-BE49-F238E27FC236}">
              <a16:creationId xmlns:a16="http://schemas.microsoft.com/office/drawing/2014/main" id="{4DD1F340-CF15-4BE6-9A67-9631AFAC9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xdr:col>
      <xdr:colOff>137160</xdr:colOff>
      <xdr:row>25</xdr:row>
      <xdr:rowOff>34105</xdr:rowOff>
    </xdr:from>
    <xdr:ext cx="7990238" cy="263075"/>
    <xdr:sp macro="" textlink="">
      <xdr:nvSpPr>
        <xdr:cNvPr id="3" name="Rectangle 2">
          <a:extLst>
            <a:ext uri="{FF2B5EF4-FFF2-40B4-BE49-F238E27FC236}">
              <a16:creationId xmlns:a16="http://schemas.microsoft.com/office/drawing/2014/main" id="{EA065F87-D48E-4C94-9652-52F97C448680}"/>
            </a:ext>
          </a:extLst>
        </xdr:cNvPr>
        <xdr:cNvSpPr/>
      </xdr:nvSpPr>
      <xdr:spPr>
        <a:xfrm>
          <a:off x="746760" y="4606105"/>
          <a:ext cx="7990238" cy="263075"/>
        </a:xfrm>
        <a:prstGeom prst="rect">
          <a:avLst/>
        </a:prstGeom>
        <a:noFill/>
      </xdr:spPr>
      <xdr:txBody>
        <a:bodyPr wrap="non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•Use</a:t>
          </a:r>
          <a:r>
            <a:rPr lang="en-US" sz="1200" b="0" cap="none" spc="0" baseline="0">
              <a:ln w="0"/>
              <a:solidFill>
                <a:schemeClr val="tx1"/>
              </a:solidFill>
              <a:effectLst>
                <a:outerShdw blurRad="38100" dist="19050" dir="2700000" algn="tl" rotWithShape="0">
                  <a:schemeClr val="dk1">
                    <a:alpha val="40000"/>
                  </a:schemeClr>
                </a:outerShdw>
              </a:effectLst>
            </a:rPr>
            <a:t> an area chart to track daily changes and to show trends,spot drops in satisfaction, and link them to busy times or challenges</a:t>
          </a:r>
        </a:p>
        <a:p>
          <a:pPr algn="ctr"/>
          <a:endParaRPr lang="en-US" sz="1200" b="0" cap="none" spc="0" baseline="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45720</xdr:colOff>
      <xdr:row>0</xdr:row>
      <xdr:rowOff>0</xdr:rowOff>
    </xdr:from>
    <xdr:to>
      <xdr:col>1</xdr:col>
      <xdr:colOff>45720</xdr:colOff>
      <xdr:row>3</xdr:row>
      <xdr:rowOff>60960</xdr:rowOff>
    </xdr:to>
    <xdr:pic>
      <xdr:nvPicPr>
        <xdr:cNvPr id="4" name="Graphic 3" descr="Home">
          <a:hlinkClick xmlns:r="http://schemas.openxmlformats.org/officeDocument/2006/relationships" r:id="rId1"/>
          <a:extLst>
            <a:ext uri="{FF2B5EF4-FFF2-40B4-BE49-F238E27FC236}">
              <a16:creationId xmlns:a16="http://schemas.microsoft.com/office/drawing/2014/main" id="{021631BE-876B-46CB-BE23-E3B5AB0A4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5720" y="0"/>
          <a:ext cx="609600" cy="609600"/>
        </a:xfrm>
        <a:prstGeom prst="rect">
          <a:avLst/>
        </a:prstGeom>
      </xdr:spPr>
    </xdr:pic>
    <xdr:clientData/>
  </xdr:twoCellAnchor>
  <xdr:twoCellAnchor>
    <xdr:from>
      <xdr:col>0</xdr:col>
      <xdr:colOff>152400</xdr:colOff>
      <xdr:row>3</xdr:row>
      <xdr:rowOff>7619</xdr:rowOff>
    </xdr:from>
    <xdr:to>
      <xdr:col>14</xdr:col>
      <xdr:colOff>449580</xdr:colOff>
      <xdr:row>24</xdr:row>
      <xdr:rowOff>135697</xdr:rowOff>
    </xdr:to>
    <xdr:graphicFrame macro="">
      <xdr:nvGraphicFramePr>
        <xdr:cNvPr id="5" name="Chart 4">
          <a:extLst>
            <a:ext uri="{FF2B5EF4-FFF2-40B4-BE49-F238E27FC236}">
              <a16:creationId xmlns:a16="http://schemas.microsoft.com/office/drawing/2014/main" id="{2A5BE618-CB57-407D-9C19-65AD9708A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4398148" createdVersion="5" refreshedVersion="6" minRefreshableVersion="3" recordCount="0" supportSubquery="1" supportAdvancedDrill="1" xr:uid="{CE1CC776-0F60-4056-A104-DE6AA03BD47A}">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4745371" createdVersion="5" refreshedVersion="6" minRefreshableVersion="3" recordCount="0" supportSubquery="1" supportAdvancedDrill="1" xr:uid="{244FF219-B0A7-4A8F-85CE-F675AAE964F4}">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4976848" createdVersion="5" refreshedVersion="6" minRefreshableVersion="3" recordCount="0" supportSubquery="1" supportAdvancedDrill="1" xr:uid="{7FBB4116-DE98-4579-8F83-D0D104C9022B}">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5208333" createdVersion="5" refreshedVersion="6" minRefreshableVersion="3" recordCount="0" supportSubquery="1" supportAdvancedDrill="1" xr:uid="{502109D4-3D75-4026-BB06-C807C89A097F}">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5671295" createdVersion="5" refreshedVersion="6" minRefreshableVersion="3" recordCount="0" supportSubquery="1" supportAdvancedDrill="1" xr:uid="{8048BC1E-D3A9-4736-B182-47A1701FAA44}">
  <cacheSource type="external" connectionId="4"/>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6250003" createdVersion="5" refreshedVersion="6" minRefreshableVersion="3" recordCount="0" supportSubquery="1" supportAdvancedDrill="1" xr:uid="{9D06B2EB-FE54-416F-9D9F-0F9F6FF10094}">
  <cacheSource type="external" connectionId="4"/>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6712965" createdVersion="5" refreshedVersion="6" minRefreshableVersion="3" recordCount="0" supportSubquery="1" supportAdvancedDrill="1" xr:uid="{8EAE497A-C14F-4D56-97FC-A75FE0D6FC17}">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7291665" createdVersion="5" refreshedVersion="6" minRefreshableVersion="3" recordCount="0" supportSubquery="1" supportAdvancedDrill="1" xr:uid="{32E33F76-5F0C-4D45-8965-D4BF00BC247A}">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7870373" createdVersion="5" refreshedVersion="6" minRefreshableVersion="3" recordCount="0" supportSubquery="1" supportAdvancedDrill="1" xr:uid="{38C4BCBC-EA4C-4DF5-84D1-299B5973F8C2}">
  <cacheSource type="external" connectionId="4"/>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8333335" createdVersion="5" refreshedVersion="6" minRefreshableVersion="3" recordCount="0" supportSubquery="1" supportAdvancedDrill="1" xr:uid="{797CC1E3-0C5E-4535-9E2F-7D2631BBFC45}">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8912035" createdVersion="5" refreshedVersion="6" minRefreshableVersion="3" recordCount="0" supportSubquery="1" supportAdvancedDrill="1" xr:uid="{FBAA7121-B0B1-4B58-B0C2-E1B9899A1C1F}">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823359490743" createdVersion="5" refreshedVersion="6" minRefreshableVersion="3" recordCount="0" supportSubquery="1" supportAdvancedDrill="1" xr:uid="{BF3989D6-DA2F-45F6-B381-5F120EF63ACE}">
  <cacheSource type="external" connectionId="4"/>
  <cacheFields count="4">
    <cacheField name="[Calendar_Table].[Date (Month)].[Date (Month)]" caption="Date (Month)" numFmtId="0" hierarchy="1" level="1">
      <sharedItems containsNonDate="0" count="1">
        <s v="Mar"/>
      </sharedItems>
    </cacheField>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Quarter)].[Date (Quarter)]" caption="Date (Quarter)" numFmtId="0" hierarchy="4" level="1">
      <sharedItems containsNonDate="0" count="1">
        <s v="Qtr1"/>
      </sharedItems>
    </cacheField>
    <cacheField name="[Calendar_Table].[Date (Year)].[Date (Year)]" caption="Date (Year)" numFmtId="0" hierarchy="3" level="1">
      <sharedItems count="1">
        <s v="2023"/>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68.798379745371" createdVersion="3" refreshedVersion="6" minRefreshableVersion="3" recordCount="0" supportSubquery="1" supportAdvancedDrill="1" xr:uid="{59BB7370-4E1A-4050-936D-A9BBA93F3C1F}">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651042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AE7EB-EACF-4642-85E8-18D071F5AD7C}" name="PivotTable16" cacheId="5948"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chartFormat="40">
  <location ref="A90:A9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38">
      <pivotArea outline="0" collapsedLevelsAreSubtotals="1" fieldPosition="0"/>
    </format>
  </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99C986-AF83-4EED-889E-A1E785EAC4E1}" name="PivotTable15" cacheId="5945"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chartFormat="40">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939">
      <pivotArea outline="0" collapsedLevelsAreSubtotals="1" fieldPosition="0"/>
    </format>
  </formats>
  <chartFormats count="3">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667D5-A849-4F13-AB19-5C08478FAC81}" name="PivotTable14" cacheId="5942"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chartFormat="29">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40">
      <pivotArea outline="0" collapsedLevelsAreSubtotals="1" fieldPosition="0"/>
    </format>
  </formats>
  <chartFormats count="3">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1" count="1" selected="0">
            <x v="0"/>
          </reference>
        </references>
      </pivotArea>
    </chartFormat>
    <chartFormat chart="28" format="7">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AEF76D-2672-428C-BA26-181270EB493E}" name="PivotTable13" cacheId="5939"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chartFormat="25">
  <location ref="A65: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2" baseItem="0"/>
  </dataFields>
  <formats count="1">
    <format dxfId="941">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 count="1" selected="0">
            <x v="0"/>
          </reference>
        </references>
      </pivotArea>
    </chartFormat>
    <chartFormat chart="24"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3DC15-A13C-46CA-A77D-77484B3152AF}" name="PivotTable12" cacheId="5936"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chartFormat="21">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942">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5AB71-BE47-4AFE-9782-579776533A5A}" name="PivotTable8" cacheId="5933"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chartFormat="16">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943">
      <pivotArea outline="0" collapsedLevelsAreSubtotals="1" fieldPosition="0"/>
    </format>
    <format dxfId="944">
      <pivotArea collapsedLevelsAreSubtotals="1" fieldPosition="0">
        <references count="1">
          <reference field="2" count="1">
            <x v="0"/>
          </reference>
        </references>
      </pivotArea>
    </format>
    <format dxfId="94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695F93-07E7-4A39-BA10-60ED3176C0DB}" name="PivotTable7" cacheId="5930" applyNumberFormats="0" applyBorderFormats="0" applyFontFormats="0" applyPatternFormats="0" applyAlignmentFormats="0" applyWidthHeightFormats="1" dataCaption="Values" tag="7e13dde7-ec1b-4141-a21c-e64453218a6a" updatedVersion="6" minRefreshableVersion="3" subtotalHiddenItems="1" itemPrintTitles="1" createdVersion="5" indent="0" outline="1" outlineData="1" multipleFieldFilters="0" chartFormat="32">
  <location ref="M7:N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946">
      <pivotArea collapsedLevelsAreSubtotals="1" fieldPosition="0">
        <references count="1">
          <reference field="0" count="0"/>
        </references>
      </pivotArea>
    </format>
  </formats>
  <chartFormats count="2">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71F52-2CDF-40FE-A077-4319162DFCD2}" name="PivotTable6" cacheId="5927" applyNumberFormats="0" applyBorderFormats="0" applyFontFormats="0" applyPatternFormats="0" applyAlignmentFormats="0" applyWidthHeightFormats="1" dataCaption="Values" tag="7e13dde7-ec1b-4141-a21c-e64453218a6a" updatedVersion="6" minRefreshableVersion="3" subtotalHiddenItems="1" itemPrintTitles="1" createdVersion="5" indent="0" outline="1" outlineData="1" multipleFieldFilters="0" chartFormat="25">
  <location ref="J7:K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947">
      <pivotArea collapsedLevelsAreSubtotals="1" fieldPosition="0">
        <references count="1">
          <reference field="0" count="0"/>
        </references>
      </pivotArea>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46B765-19EA-4592-8A65-1AB32A837821}" name="PivotTable5" cacheId="5915" applyNumberFormats="0" applyBorderFormats="0" applyFontFormats="0" applyPatternFormats="0" applyAlignmentFormats="0" applyWidthHeightFormats="1" dataCaption="Values" tag="7e13dde7-ec1b-4141-a21c-e64453218a6a" updatedVersion="6" minRefreshableVersion="3" subtotalHiddenItems="1" itemPrintTitles="1" createdVersion="5" indent="0" outline="1" outlineData="1" multipleFieldFilters="0" chartFormat="14">
  <location ref="E6:F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3DFDB0-D52A-42FC-A0A6-A0C49725A6D6}" name="PivotTable2" cacheId="5921" applyNumberFormats="0" applyBorderFormats="0" applyFontFormats="0" applyPatternFormats="0" applyAlignmentFormats="0" applyWidthHeightFormats="1" dataCaption="Values" tag="ccb47343-f0ab-4ff8-821e-78f309fe12ae" updatedVersion="6"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50">
      <pivotArea outline="0" collapsedLevelsAreSubtotals="1" fieldPosition="0"/>
    </format>
  </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331C89-8B97-4E4D-B495-64367B5DD21D}" name="PivotTable1" cacheId="5918" applyNumberFormats="0" applyBorderFormats="0" applyFontFormats="0" applyPatternFormats="0" applyAlignmentFormats="0" applyWidthHeightFormats="1" dataCaption="Values" tag="ebe7b0ac-8d86-417d-a82a-68be3186cedc" updatedVersion="6"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CD6BF9-482D-4F32-86D0-26BC0A1FE1F5}" name="PivotTable3" cacheId="5924" applyNumberFormats="0" applyBorderFormats="0" applyFontFormats="0" applyPatternFormats="0" applyAlignmentFormats="0" applyWidthHeightFormats="1" dataCaption="Values" tag="f4a3e3c6-8ad5-48b1-b9e1-3b2f0a689d9d" updatedVersion="6"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49">
      <pivotArea outline="0" collapsedLevelsAreSubtotals="1" fieldPosition="0"/>
    </format>
  </formats>
  <pivotHierarchies count="37">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C673F51-9B9F-4AC7-B04A-D38D1006F54B}"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329F08F-0994-40C8-B150-38A3831E24C2}" sourceName="[Calenda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12"/>
    <pivotTable tabId="1" name="PivotTable13"/>
    <pivotTable tabId="1" name="PivotTable14"/>
    <pivotTable tabId="1" name="PivotTable15"/>
    <pivotTable tabId="1" name="PivotTable16"/>
  </pivotTables>
  <data>
    <olap pivotCacheId="56510421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F660544-D693-43FA-8B67-419ADB316631}" sourceName="[Calendar_Table].[Date (Year)]">
  <pivotTables>
    <pivotTable tabId="1" name="PivotTable16"/>
    <pivotTable tabId="1" name="PivotTable1"/>
    <pivotTable tabId="1" name="PivotTable12"/>
    <pivotTable tabId="1" name="PivotTable13"/>
    <pivotTable tabId="1" name="PivotTable14"/>
    <pivotTable tabId="1" name="PivotTable15"/>
    <pivotTable tabId="1" name="PivotTable2"/>
    <pivotTable tabId="1" name="PivotTable3"/>
    <pivotTable tabId="1" name="PivotTable5"/>
    <pivotTable tabId="1" name="PivotTable6"/>
    <pivotTable tabId="1" name="PivotTable7"/>
    <pivotTable tabId="1" name="PivotTable8"/>
  </pivotTables>
  <data>
    <olap pivotCacheId="565104212">
      <levels count="2">
        <level uniqueName="[Calendar_Table].[Date (Year)].[(All)]" sourceCaption="(All)" count="0"/>
        <level uniqueName="[Calendar_Table].[Date (Year)].[Date (Year)]" sourceCaption="Date (Year)" count="3">
          <ranges>
            <range startItem="0">
              <i n="[Calendar_Table].[Date (Year)].&amp;[2023]" c="2023"/>
              <i n="[Calendar_Table].[Date (Year)].&amp;[2024]" c="2024"/>
              <i n="[Calendar_Table].[Date (Year)].&amp;[2025]" c="2025" nd="1"/>
            </range>
          </ranges>
        </level>
      </levels>
      <selections count="1">
        <selection n="[Calendar_Table].[Date (Year)].&amp;[2023]"/>
      </selections>
    </olap>
  </data>
  <extLst>
    <x:ext xmlns:x15="http://schemas.microsoft.com/office/spreadsheetml/2010/11/main" uri="{470722E0-AACD-4C17-9CDC-17EF765DBC7E}">
      <x15:slicerCacheHideItemsWithNoData count="1">
        <x15:slicerCacheOlapLevelName uniqueName="[Calendar_Table].[Date (Year)].[Date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078FF26-018E-47D0-8946-D81DBAD51A06}" cache="Slicer_Date__Month" caption="Date (Month)" showCaption="0" level="1" style="My Style 1" rowHeight="182880"/>
  <slicer name="Date (Year)" xr10:uid="{1F663C54-060A-4BA4-89AF-EE30F71AFD83}" cache="Slicer_Date__Year" caption="Date (Year)" columnCount="2" showCaption="0" level="1" style="My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196266-0E78-4B7A-983D-2C6F842CF4DB}" name="Table_ExternalData_13" displayName="Table_ExternalData_13" ref="A3:M16" tableType="queryTable" totalsRowShown="0">
  <autoFilter ref="A3:M16" xr:uid="{827BB102-373E-411C-9E17-EA32F917A9ED}"/>
  <tableColumns count="13">
    <tableColumn id="1" xr3:uid="{6285137B-1186-4EF1-87C3-FA4CECC09166}" uniqueName="1" name="Hospital Emergency Room Data[Patient Id]" queryTableFieldId="1"/>
    <tableColumn id="2" xr3:uid="{DD821571-9398-491A-B360-10C87711739B}" uniqueName="2" name="Hospital Emergency Room Data[Patient Admission Date]" queryTableFieldId="2" dataDxfId="948"/>
    <tableColumn id="3" xr3:uid="{8E9DB685-5B67-4094-9FF3-93CED866CFF5}" uniqueName="3" name="Hospital Emergency Room Data[Patient Admission Time]" queryTableFieldId="3"/>
    <tableColumn id="4" xr3:uid="{29BFA944-8356-4455-956A-91A9A5CCC2AA}" uniqueName="4" name="Hospital Emergency Room Data[Merged]" queryTableFieldId="4"/>
    <tableColumn id="5" xr3:uid="{4C6593A7-B48D-4EF8-9AD0-AB3A66F456E9}" uniqueName="5" name="Hospital Emergency Room Data[Patient Gender]" queryTableFieldId="5"/>
    <tableColumn id="6" xr3:uid="{9763FD42-DD03-4E78-860E-9409797E569F}" uniqueName="6" name="Hospital Emergency Room Data[Patient Age]" queryTableFieldId="6"/>
    <tableColumn id="7" xr3:uid="{0ECD8C1F-F207-4BF9-9E95-7525237068DA}" uniqueName="7" name="Hospital Emergency Room Data[Patient Race]" queryTableFieldId="7"/>
    <tableColumn id="8" xr3:uid="{F0EBB7CF-F33C-4FA1-BE2D-F72993B8EB75}" uniqueName="8" name="Hospital Emergency Room Data[Department Referral]" queryTableFieldId="8"/>
    <tableColumn id="9" xr3:uid="{4A75B42E-71B9-480D-A6FA-F8CC8E6B1C56}" uniqueName="9" name="Hospital Emergency Room Data[Patient Admission Flag]" queryTableFieldId="9"/>
    <tableColumn id="10" xr3:uid="{4D35AA57-E5F1-479C-B091-174C88C3699C}" uniqueName="10" name="Hospital Emergency Room Data[Patient Satisfaction Score]" queryTableFieldId="10"/>
    <tableColumn id="11" xr3:uid="{0CCF9E8A-ECEC-4F85-A297-0B5A055049CE}" uniqueName="11" name="Hospital Emergency Room Data[Patient Waittime]" queryTableFieldId="11"/>
    <tableColumn id="12" xr3:uid="{1696D568-D00D-427C-8D74-79977B8CA887}" uniqueName="12" name="Hospital Emergency Room Data[Age Group]" queryTableFieldId="12"/>
    <tableColumn id="13" xr3:uid="{76292767-A909-4BF8-A873-7DA17BD73E3F}"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27E6-D27F-42DA-85BB-65AA501E3342}">
  <dimension ref="A1:M30"/>
  <sheetViews>
    <sheetView zoomScale="94" workbookViewId="0">
      <selection activeCell="P15" sqref="P15"/>
    </sheetView>
  </sheetViews>
  <sheetFormatPr defaultRowHeight="14.4" x14ac:dyDescent="0.3"/>
  <sheetData>
    <row r="1" spans="1:12" x14ac:dyDescent="0.3">
      <c r="A1" s="7"/>
      <c r="B1" s="7"/>
      <c r="C1" s="7"/>
      <c r="D1" s="7"/>
      <c r="E1" s="7"/>
      <c r="F1" s="7"/>
      <c r="G1" s="7"/>
      <c r="H1" s="7"/>
      <c r="I1" s="7"/>
      <c r="J1" s="7"/>
      <c r="K1" s="7"/>
      <c r="L1" s="7"/>
    </row>
    <row r="2" spans="1:12" x14ac:dyDescent="0.3">
      <c r="A2" s="7"/>
      <c r="B2" s="7"/>
      <c r="C2" s="7"/>
      <c r="D2" s="7"/>
      <c r="E2" s="7"/>
      <c r="F2" s="7"/>
      <c r="G2" s="7"/>
      <c r="H2" s="7"/>
      <c r="I2" s="7"/>
      <c r="J2" s="7"/>
      <c r="K2" s="7"/>
      <c r="L2" s="7"/>
    </row>
    <row r="3" spans="1:12" x14ac:dyDescent="0.3">
      <c r="A3" s="7"/>
      <c r="B3" s="7"/>
      <c r="C3" s="7"/>
      <c r="D3" s="7"/>
      <c r="E3" s="7"/>
      <c r="F3" s="7"/>
      <c r="G3" s="7"/>
      <c r="H3" s="7"/>
      <c r="I3" s="7"/>
      <c r="J3" s="7"/>
      <c r="K3" s="7"/>
      <c r="L3" s="7"/>
    </row>
    <row r="4" spans="1:12" x14ac:dyDescent="0.3">
      <c r="A4" s="7"/>
      <c r="B4" s="7"/>
      <c r="C4" s="7"/>
      <c r="D4" s="7"/>
      <c r="E4" s="7"/>
      <c r="F4" s="7"/>
      <c r="G4" s="7"/>
      <c r="H4" s="7"/>
      <c r="I4" s="7"/>
      <c r="J4" s="7"/>
      <c r="K4" s="7"/>
      <c r="L4" s="7"/>
    </row>
    <row r="5" spans="1:12" x14ac:dyDescent="0.3">
      <c r="A5" s="7"/>
      <c r="B5" s="7"/>
      <c r="C5" s="7"/>
      <c r="D5" s="7"/>
      <c r="E5" s="7"/>
      <c r="F5" s="7"/>
      <c r="G5" s="7"/>
      <c r="H5" s="7"/>
      <c r="I5" s="7"/>
      <c r="J5" s="7"/>
      <c r="K5" s="7"/>
      <c r="L5" s="7"/>
    </row>
    <row r="6" spans="1:12" x14ac:dyDescent="0.3">
      <c r="A6" s="7"/>
      <c r="B6" s="7"/>
      <c r="C6" s="7"/>
      <c r="D6" s="7"/>
      <c r="E6" s="7"/>
      <c r="F6" s="7"/>
      <c r="G6" s="7"/>
      <c r="H6" s="7"/>
      <c r="I6" s="7"/>
      <c r="J6" s="7"/>
      <c r="K6" s="7"/>
      <c r="L6" s="7"/>
    </row>
    <row r="7" spans="1:12" x14ac:dyDescent="0.3">
      <c r="A7" s="7"/>
      <c r="B7" s="7"/>
      <c r="C7" s="7"/>
      <c r="D7" s="7"/>
      <c r="E7" s="7"/>
      <c r="F7" s="7"/>
      <c r="G7" s="7"/>
      <c r="H7" s="7"/>
      <c r="I7" s="7"/>
      <c r="J7" s="7"/>
      <c r="K7" s="7"/>
      <c r="L7" s="7"/>
    </row>
    <row r="8" spans="1:12" x14ac:dyDescent="0.3">
      <c r="A8" s="7"/>
      <c r="B8" s="7"/>
      <c r="C8" s="7"/>
      <c r="D8" s="7"/>
      <c r="E8" s="7"/>
      <c r="F8" s="7"/>
      <c r="G8" s="7"/>
      <c r="H8" s="7"/>
      <c r="I8" s="7"/>
      <c r="J8" s="7"/>
      <c r="K8" s="7"/>
      <c r="L8" s="7"/>
    </row>
    <row r="9" spans="1:12" x14ac:dyDescent="0.3">
      <c r="A9" s="7"/>
      <c r="B9" s="7"/>
      <c r="C9" s="7"/>
      <c r="D9" s="7"/>
      <c r="E9" s="7"/>
      <c r="F9" s="7"/>
      <c r="G9" s="7"/>
      <c r="H9" s="7"/>
      <c r="I9" s="7"/>
      <c r="J9" s="7"/>
      <c r="K9" s="7"/>
      <c r="L9" s="7"/>
    </row>
    <row r="10" spans="1:12" x14ac:dyDescent="0.3">
      <c r="A10" s="7"/>
      <c r="B10" s="7"/>
      <c r="C10" s="7"/>
      <c r="D10" s="7"/>
      <c r="E10" s="7"/>
      <c r="F10" s="7"/>
      <c r="G10" s="7"/>
      <c r="H10" s="7"/>
      <c r="I10" s="7"/>
      <c r="J10" s="7"/>
      <c r="K10" s="7"/>
      <c r="L10" s="7"/>
    </row>
    <row r="11" spans="1:12" x14ac:dyDescent="0.3">
      <c r="A11" s="7"/>
      <c r="B11" s="7"/>
      <c r="C11" s="7"/>
      <c r="D11" s="7"/>
      <c r="E11" s="7"/>
      <c r="F11" s="7"/>
      <c r="G11" s="7"/>
      <c r="H11" s="7"/>
      <c r="I11" s="7"/>
      <c r="J11" s="7"/>
      <c r="K11" s="7"/>
      <c r="L11" s="7"/>
    </row>
    <row r="12" spans="1:12" x14ac:dyDescent="0.3">
      <c r="A12" s="7"/>
      <c r="B12" s="7"/>
      <c r="C12" s="7"/>
      <c r="D12" s="7"/>
      <c r="E12" s="7"/>
      <c r="F12" s="7"/>
      <c r="G12" s="7"/>
      <c r="H12" s="7"/>
      <c r="I12" s="7"/>
      <c r="J12" s="7"/>
      <c r="K12" s="7"/>
      <c r="L12" s="7"/>
    </row>
    <row r="13" spans="1:12" x14ac:dyDescent="0.3">
      <c r="A13" s="7"/>
      <c r="B13" s="7"/>
      <c r="C13" s="7"/>
      <c r="D13" s="7"/>
      <c r="E13" s="7"/>
      <c r="F13" s="7"/>
      <c r="G13" s="7"/>
      <c r="H13" s="7"/>
      <c r="I13" s="7"/>
      <c r="J13" s="7"/>
      <c r="K13" s="7"/>
      <c r="L13" s="7"/>
    </row>
    <row r="14" spans="1:12" x14ac:dyDescent="0.3">
      <c r="A14" s="7"/>
      <c r="B14" s="7"/>
      <c r="C14" s="7"/>
      <c r="D14" s="7"/>
      <c r="E14" s="7"/>
      <c r="F14" s="7"/>
      <c r="G14" s="7"/>
      <c r="H14" s="7"/>
      <c r="I14" s="7"/>
      <c r="J14" s="7"/>
      <c r="K14" s="7"/>
      <c r="L14" s="7"/>
    </row>
    <row r="15" spans="1:12" x14ac:dyDescent="0.3">
      <c r="A15" s="7"/>
      <c r="B15" s="7"/>
      <c r="C15" s="7"/>
      <c r="D15" s="7"/>
      <c r="E15" s="7"/>
      <c r="F15" s="7"/>
      <c r="G15" s="7"/>
      <c r="H15" s="7"/>
      <c r="I15" s="7"/>
      <c r="J15" s="7"/>
      <c r="K15" s="7"/>
      <c r="L15" s="7"/>
    </row>
    <row r="16" spans="1:12" x14ac:dyDescent="0.3">
      <c r="A16" s="7"/>
      <c r="B16" s="7"/>
      <c r="C16" s="7"/>
      <c r="D16" s="7"/>
      <c r="E16" s="7"/>
      <c r="F16" s="7"/>
      <c r="G16" s="7"/>
      <c r="H16" s="7"/>
      <c r="I16" s="7"/>
      <c r="J16" s="7"/>
      <c r="K16" s="7"/>
      <c r="L16" s="7"/>
    </row>
    <row r="17" spans="1:13" x14ac:dyDescent="0.3">
      <c r="A17" s="7"/>
      <c r="B17" s="7"/>
      <c r="C17" s="7"/>
      <c r="D17" s="7"/>
      <c r="E17" s="7"/>
      <c r="F17" s="7"/>
      <c r="G17" s="7"/>
      <c r="H17" s="7"/>
      <c r="I17" s="7"/>
      <c r="J17" s="7"/>
      <c r="K17" s="7"/>
      <c r="L17" s="7"/>
    </row>
    <row r="18" spans="1:13" x14ac:dyDescent="0.3">
      <c r="A18" s="7"/>
      <c r="B18" s="7"/>
      <c r="C18" s="7"/>
      <c r="D18" s="7"/>
      <c r="E18" s="7"/>
      <c r="F18" s="7"/>
      <c r="G18" s="7"/>
      <c r="H18" s="7"/>
      <c r="I18" s="7"/>
      <c r="J18" s="7"/>
      <c r="K18" s="7"/>
      <c r="L18" s="7"/>
    </row>
    <row r="19" spans="1:13" x14ac:dyDescent="0.3">
      <c r="A19" s="7"/>
      <c r="B19" s="7"/>
      <c r="C19" s="7"/>
      <c r="D19" s="7"/>
      <c r="E19" s="7"/>
      <c r="F19" s="7"/>
      <c r="G19" s="7"/>
      <c r="H19" s="7"/>
      <c r="I19" s="7"/>
      <c r="J19" s="7"/>
      <c r="K19" s="7"/>
      <c r="L19" s="7"/>
    </row>
    <row r="20" spans="1:13" x14ac:dyDescent="0.3">
      <c r="A20" s="7"/>
      <c r="B20" s="7"/>
      <c r="C20" s="7"/>
      <c r="D20" s="7"/>
      <c r="E20" s="7"/>
      <c r="F20" s="7"/>
      <c r="G20" s="7"/>
      <c r="H20" s="7"/>
      <c r="I20" s="7"/>
      <c r="J20" s="7"/>
      <c r="K20" s="7"/>
      <c r="L20" s="7"/>
    </row>
    <row r="21" spans="1:13" x14ac:dyDescent="0.3">
      <c r="A21" s="7"/>
      <c r="B21" s="7"/>
      <c r="C21" s="7"/>
      <c r="D21" s="7"/>
      <c r="E21" s="7"/>
      <c r="F21" s="7"/>
      <c r="G21" s="7"/>
      <c r="H21" s="7"/>
      <c r="I21" s="7"/>
      <c r="J21" s="7"/>
      <c r="K21" s="7"/>
      <c r="L21" s="7"/>
    </row>
    <row r="22" spans="1:13" x14ac:dyDescent="0.3">
      <c r="A22" s="7"/>
      <c r="B22" s="7"/>
      <c r="C22" s="7"/>
      <c r="D22" s="7"/>
      <c r="E22" s="7"/>
      <c r="F22" s="7"/>
      <c r="G22" s="7"/>
      <c r="H22" s="7"/>
      <c r="I22" s="7"/>
      <c r="J22" s="7"/>
      <c r="K22" s="7"/>
      <c r="L22" s="7"/>
    </row>
    <row r="23" spans="1:13" x14ac:dyDescent="0.3">
      <c r="A23" s="7"/>
      <c r="B23" s="7"/>
      <c r="C23" s="7"/>
      <c r="D23" s="7"/>
      <c r="E23" s="7"/>
      <c r="F23" s="7"/>
      <c r="G23" s="7"/>
      <c r="H23" s="7"/>
      <c r="I23" s="7"/>
      <c r="J23" s="7"/>
      <c r="K23" s="7"/>
      <c r="L23" s="7"/>
    </row>
    <row r="24" spans="1:13" x14ac:dyDescent="0.3">
      <c r="A24" s="7"/>
      <c r="B24" s="7"/>
      <c r="C24" s="7"/>
      <c r="D24" s="7"/>
      <c r="E24" s="7"/>
      <c r="F24" s="7"/>
      <c r="G24" s="7"/>
      <c r="H24" s="7"/>
      <c r="I24" s="7"/>
      <c r="J24" s="7"/>
      <c r="K24" s="7"/>
      <c r="L24" s="7"/>
    </row>
    <row r="25" spans="1:13" x14ac:dyDescent="0.3">
      <c r="A25" s="7"/>
      <c r="B25" s="7"/>
      <c r="C25" s="7"/>
      <c r="D25" s="7"/>
      <c r="E25" s="7"/>
      <c r="F25" s="7"/>
      <c r="G25" s="7"/>
      <c r="H25" s="7"/>
      <c r="I25" s="7"/>
      <c r="J25" s="7"/>
      <c r="K25" s="7"/>
      <c r="L25" s="7"/>
    </row>
    <row r="26" spans="1:13" x14ac:dyDescent="0.3">
      <c r="A26" s="7"/>
      <c r="B26" s="7"/>
      <c r="C26" s="7"/>
      <c r="D26" s="7"/>
      <c r="E26" s="7"/>
      <c r="F26" s="7"/>
      <c r="G26" s="7"/>
      <c r="H26" s="7"/>
      <c r="I26" s="7"/>
      <c r="J26" s="7"/>
      <c r="K26" s="7"/>
      <c r="L26" s="7"/>
      <c r="M26" s="7"/>
    </row>
    <row r="27" spans="1:13" x14ac:dyDescent="0.3">
      <c r="A27" s="7"/>
      <c r="B27" s="7"/>
      <c r="C27" s="7"/>
      <c r="D27" s="7"/>
      <c r="E27" s="7"/>
      <c r="F27" s="7"/>
      <c r="G27" s="7"/>
      <c r="H27" s="7"/>
      <c r="I27" s="7"/>
      <c r="J27" s="7"/>
      <c r="K27" s="7"/>
      <c r="L27" s="7"/>
      <c r="M27" s="7"/>
    </row>
    <row r="28" spans="1:13" x14ac:dyDescent="0.3">
      <c r="A28" s="7"/>
      <c r="B28" s="7"/>
      <c r="C28" s="7"/>
      <c r="D28" s="7"/>
      <c r="E28" s="7"/>
      <c r="F28" s="7"/>
      <c r="G28" s="7"/>
      <c r="H28" s="7"/>
      <c r="I28" s="7"/>
      <c r="J28" s="7"/>
      <c r="K28" s="7"/>
      <c r="L28" s="7"/>
      <c r="M28" s="7"/>
    </row>
    <row r="29" spans="1:13" x14ac:dyDescent="0.3">
      <c r="A29" s="7"/>
      <c r="B29" s="7"/>
      <c r="C29" s="7"/>
      <c r="D29" s="7"/>
      <c r="E29" s="7"/>
      <c r="F29" s="7"/>
      <c r="G29" s="7"/>
      <c r="H29" s="7"/>
      <c r="I29" s="7"/>
      <c r="J29" s="7"/>
      <c r="K29" s="7"/>
      <c r="L29" s="7"/>
      <c r="M29" s="7"/>
    </row>
    <row r="30" spans="1:13" x14ac:dyDescent="0.3">
      <c r="A30" s="7"/>
      <c r="B30" s="7"/>
      <c r="C30" s="7"/>
      <c r="D30" s="7"/>
      <c r="E30" s="7"/>
      <c r="F30" s="7"/>
      <c r="G30" s="7"/>
      <c r="H30" s="7"/>
      <c r="I30" s="7"/>
      <c r="J30" s="7"/>
      <c r="K30" s="7"/>
      <c r="L30" s="7"/>
      <c r="M30" s="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A84F-3328-4BCD-B567-4065AEB4F35F}">
  <dimension ref="A1:W31"/>
  <sheetViews>
    <sheetView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58462-17CF-4B2F-99CC-7B95DAD98151}">
  <dimension ref="A1:AK43"/>
  <sheetViews>
    <sheetView tabSelected="1" zoomScaleNormal="100" workbookViewId="0">
      <selection activeCell="L26" sqref="L26"/>
    </sheetView>
  </sheetViews>
  <sheetFormatPr defaultRowHeight="14.4" x14ac:dyDescent="0.3"/>
  <cols>
    <col min="1" max="4" width="8.88671875" style="5"/>
    <col min="5" max="5" width="9.77734375" style="5" customWidth="1"/>
    <col min="6" max="8" width="8.88671875" style="5"/>
    <col min="9" max="11" width="8.88671875" style="5" customWidth="1"/>
    <col min="12" max="12" width="8.88671875" style="5"/>
    <col min="13" max="13" width="44.44140625" style="5" customWidth="1"/>
  </cols>
  <sheetData>
    <row r="1" spans="7:35" x14ac:dyDescent="0.3">
      <c r="G1" s="5" t="s">
        <v>41</v>
      </c>
      <c r="N1" s="5"/>
      <c r="O1" s="5"/>
      <c r="P1" s="5"/>
      <c r="Q1" s="5"/>
      <c r="R1" s="5"/>
      <c r="S1" s="5"/>
      <c r="T1" s="5"/>
      <c r="U1" s="5"/>
      <c r="V1" s="5"/>
      <c r="W1" s="5"/>
      <c r="X1" s="5"/>
      <c r="Y1" s="5"/>
      <c r="Z1" s="5"/>
      <c r="AA1" s="5"/>
      <c r="AB1" s="5"/>
      <c r="AC1" s="5"/>
      <c r="AD1" s="5"/>
      <c r="AE1" s="5"/>
      <c r="AF1" s="5"/>
      <c r="AG1" s="5"/>
      <c r="AH1" s="5"/>
      <c r="AI1" s="5"/>
    </row>
    <row r="2" spans="7:35" x14ac:dyDescent="0.3">
      <c r="N2" s="5"/>
      <c r="O2" s="5"/>
      <c r="P2" s="5"/>
      <c r="Q2" s="5"/>
      <c r="R2" s="5"/>
      <c r="S2" s="5"/>
      <c r="T2" s="5"/>
      <c r="U2" s="5"/>
      <c r="V2" s="5"/>
      <c r="W2" s="5"/>
      <c r="X2" s="5"/>
      <c r="Y2" s="5"/>
      <c r="Z2" s="5"/>
      <c r="AA2" s="5"/>
      <c r="AB2" s="5"/>
      <c r="AC2" s="5"/>
      <c r="AD2" s="5"/>
      <c r="AE2" s="5"/>
      <c r="AF2" s="5"/>
      <c r="AG2" s="5"/>
      <c r="AH2" s="5"/>
      <c r="AI2" s="5"/>
    </row>
    <row r="3" spans="7:35" x14ac:dyDescent="0.3">
      <c r="N3" s="5"/>
      <c r="O3" s="5"/>
      <c r="P3" s="5"/>
      <c r="Q3" s="5"/>
      <c r="R3" s="5"/>
      <c r="S3" s="5"/>
      <c r="T3" s="5"/>
      <c r="U3" s="5"/>
      <c r="V3" s="5"/>
      <c r="W3" s="5"/>
      <c r="X3" s="5"/>
      <c r="Y3" s="5"/>
      <c r="Z3" s="5"/>
      <c r="AA3" s="5"/>
      <c r="AB3" s="5"/>
      <c r="AC3" s="5"/>
      <c r="AD3" s="5"/>
      <c r="AE3" s="5"/>
      <c r="AF3" s="5"/>
      <c r="AG3" s="5"/>
      <c r="AH3" s="5"/>
      <c r="AI3" s="5"/>
    </row>
    <row r="4" spans="7:35" x14ac:dyDescent="0.3">
      <c r="N4" s="5"/>
      <c r="O4" s="5"/>
      <c r="P4" s="5"/>
      <c r="Q4" s="5"/>
      <c r="R4" s="5"/>
      <c r="S4" s="5"/>
      <c r="T4" s="5"/>
      <c r="U4" s="5"/>
      <c r="V4" s="5"/>
      <c r="W4" s="5"/>
      <c r="X4" s="5"/>
      <c r="Y4" s="5"/>
      <c r="Z4" s="5"/>
      <c r="AA4" s="5"/>
      <c r="AB4" s="5"/>
      <c r="AC4" s="5"/>
      <c r="AD4" s="5"/>
      <c r="AE4" s="5"/>
      <c r="AF4" s="5"/>
      <c r="AG4" s="5"/>
      <c r="AH4" s="5"/>
      <c r="AI4" s="5"/>
    </row>
    <row r="5" spans="7:35" x14ac:dyDescent="0.3">
      <c r="N5" s="5"/>
      <c r="O5" s="5"/>
      <c r="P5" s="5"/>
      <c r="Q5" s="5"/>
      <c r="R5" s="5"/>
      <c r="S5" s="5"/>
      <c r="T5" s="5"/>
      <c r="U5" s="5"/>
      <c r="V5" s="5"/>
      <c r="W5" s="5"/>
      <c r="X5" s="5"/>
      <c r="Y5" s="5"/>
      <c r="Z5" s="5"/>
      <c r="AA5" s="5"/>
      <c r="AB5" s="5"/>
      <c r="AC5" s="5"/>
      <c r="AD5" s="5"/>
      <c r="AE5" s="5"/>
      <c r="AF5" s="5"/>
      <c r="AG5" s="5"/>
      <c r="AH5" s="5"/>
      <c r="AI5" s="5"/>
    </row>
    <row r="6" spans="7:35" x14ac:dyDescent="0.3">
      <c r="N6" s="5"/>
      <c r="O6" s="5"/>
      <c r="P6" s="5"/>
      <c r="Q6" s="5"/>
      <c r="R6" s="5"/>
      <c r="S6" s="5"/>
      <c r="T6" s="5"/>
      <c r="U6" s="5"/>
      <c r="V6" s="5"/>
      <c r="W6" s="5"/>
      <c r="X6" s="5"/>
      <c r="Y6" s="5"/>
      <c r="Z6" s="5"/>
      <c r="AA6" s="5"/>
      <c r="AB6" s="5"/>
      <c r="AC6" s="5"/>
      <c r="AD6" s="5"/>
      <c r="AE6" s="5"/>
      <c r="AF6" s="5"/>
      <c r="AG6" s="5"/>
      <c r="AH6" s="5"/>
      <c r="AI6" s="5"/>
    </row>
    <row r="7" spans="7:35" x14ac:dyDescent="0.3">
      <c r="N7" s="5"/>
      <c r="O7" s="5"/>
      <c r="P7" s="5"/>
      <c r="Q7" s="5"/>
      <c r="R7" s="5"/>
      <c r="S7" s="5"/>
      <c r="T7" s="5"/>
      <c r="U7" s="5"/>
      <c r="V7" s="5"/>
      <c r="W7" s="5"/>
      <c r="X7" s="5"/>
      <c r="Y7" s="5"/>
      <c r="Z7" s="5"/>
      <c r="AA7" s="5"/>
      <c r="AB7" s="5"/>
      <c r="AC7" s="5"/>
      <c r="AD7" s="5"/>
      <c r="AE7" s="5"/>
      <c r="AF7" s="5"/>
      <c r="AG7" s="5"/>
      <c r="AH7" s="5"/>
      <c r="AI7" s="5"/>
    </row>
    <row r="8" spans="7:35" x14ac:dyDescent="0.3">
      <c r="N8" s="5"/>
      <c r="O8" s="5"/>
      <c r="P8" s="5"/>
      <c r="Q8" s="5"/>
      <c r="R8" s="5"/>
      <c r="S8" s="5"/>
      <c r="T8" s="5"/>
      <c r="U8" s="5"/>
      <c r="V8" s="5"/>
      <c r="W8" s="5"/>
      <c r="X8" s="5"/>
      <c r="Y8" s="5"/>
      <c r="Z8" s="5"/>
      <c r="AA8" s="5"/>
      <c r="AB8" s="5"/>
      <c r="AC8" s="5"/>
      <c r="AD8" s="5"/>
      <c r="AE8" s="5"/>
      <c r="AF8" s="5"/>
      <c r="AG8" s="5"/>
      <c r="AH8" s="5"/>
      <c r="AI8" s="5"/>
    </row>
    <row r="9" spans="7:35" x14ac:dyDescent="0.3">
      <c r="N9" s="5"/>
      <c r="O9" s="5"/>
      <c r="P9" s="5"/>
      <c r="Q9" s="5"/>
      <c r="R9" s="5"/>
      <c r="S9" s="5"/>
      <c r="T9" s="5"/>
      <c r="U9" s="5"/>
      <c r="V9" s="5"/>
      <c r="W9" s="5"/>
      <c r="X9" s="5"/>
      <c r="Y9" s="5"/>
      <c r="Z9" s="5"/>
      <c r="AA9" s="5"/>
      <c r="AB9" s="5"/>
      <c r="AC9" s="5"/>
      <c r="AD9" s="5"/>
      <c r="AE9" s="5"/>
      <c r="AF9" s="5"/>
      <c r="AG9" s="5"/>
      <c r="AH9" s="5"/>
      <c r="AI9" s="5"/>
    </row>
    <row r="10" spans="7:35" x14ac:dyDescent="0.3">
      <c r="N10" s="5"/>
      <c r="O10" s="5"/>
      <c r="P10" s="5"/>
      <c r="Q10" s="5"/>
      <c r="R10" s="5"/>
      <c r="S10" s="5"/>
      <c r="T10" s="5"/>
      <c r="U10" s="5"/>
      <c r="V10" s="5"/>
      <c r="W10" s="5"/>
      <c r="X10" s="5"/>
      <c r="Y10" s="5"/>
      <c r="Z10" s="5"/>
      <c r="AA10" s="5"/>
      <c r="AB10" s="5"/>
      <c r="AC10" s="5"/>
      <c r="AD10" s="5"/>
      <c r="AE10" s="5"/>
      <c r="AF10" s="5"/>
      <c r="AG10" s="5"/>
      <c r="AH10" s="5"/>
      <c r="AI10" s="5"/>
    </row>
    <row r="11" spans="7:35" x14ac:dyDescent="0.3">
      <c r="N11" s="5"/>
      <c r="O11" s="5"/>
      <c r="P11" s="5"/>
      <c r="Q11" s="5"/>
      <c r="R11" s="5"/>
      <c r="S11" s="5"/>
      <c r="T11" s="5"/>
      <c r="U11" s="5"/>
      <c r="V11" s="5"/>
      <c r="W11" s="5"/>
      <c r="X11" s="5"/>
      <c r="Y11" s="5"/>
      <c r="Z11" s="5"/>
      <c r="AA11" s="5"/>
      <c r="AB11" s="5"/>
      <c r="AC11" s="5"/>
      <c r="AD11" s="5"/>
      <c r="AE11" s="5"/>
      <c r="AF11" s="5"/>
      <c r="AG11" s="5"/>
      <c r="AH11" s="5"/>
      <c r="AI11" s="5"/>
    </row>
    <row r="12" spans="7:35" x14ac:dyDescent="0.3">
      <c r="N12" s="5"/>
      <c r="O12" s="5"/>
      <c r="P12" s="5"/>
      <c r="Q12" s="5"/>
      <c r="R12" s="5"/>
      <c r="S12" s="5"/>
      <c r="T12" s="5"/>
      <c r="U12" s="5"/>
      <c r="V12" s="5"/>
      <c r="W12" s="5"/>
      <c r="X12" s="5"/>
      <c r="Y12" s="5"/>
      <c r="Z12" s="5"/>
      <c r="AA12" s="5"/>
      <c r="AB12" s="5"/>
      <c r="AC12" s="5"/>
      <c r="AD12" s="5"/>
      <c r="AE12" s="5"/>
      <c r="AF12" s="5"/>
      <c r="AG12" s="5"/>
      <c r="AH12" s="5"/>
      <c r="AI12" s="5"/>
    </row>
    <row r="13" spans="7:35" x14ac:dyDescent="0.3">
      <c r="N13" s="5"/>
      <c r="O13" s="5"/>
      <c r="P13" s="5"/>
      <c r="Q13" s="5"/>
      <c r="R13" s="5"/>
      <c r="S13" s="5"/>
      <c r="T13" s="5"/>
      <c r="U13" s="5"/>
      <c r="V13" s="5"/>
      <c r="W13" s="5"/>
      <c r="X13" s="5"/>
      <c r="Y13" s="5"/>
      <c r="Z13" s="5"/>
      <c r="AA13" s="5"/>
      <c r="AB13" s="5"/>
      <c r="AC13" s="5"/>
      <c r="AD13" s="5"/>
      <c r="AE13" s="5"/>
      <c r="AF13" s="5"/>
      <c r="AG13" s="5"/>
      <c r="AH13" s="5"/>
      <c r="AI13" s="5"/>
    </row>
    <row r="14" spans="7:35" x14ac:dyDescent="0.3">
      <c r="N14" s="5"/>
      <c r="O14" s="5"/>
      <c r="P14" s="5"/>
      <c r="Q14" s="5"/>
      <c r="R14" s="5"/>
      <c r="S14" s="5"/>
      <c r="T14" s="5"/>
      <c r="U14" s="5"/>
      <c r="V14" s="5"/>
      <c r="W14" s="5"/>
      <c r="X14" s="5"/>
      <c r="Y14" s="5"/>
      <c r="Z14" s="5"/>
      <c r="AA14" s="5"/>
      <c r="AB14" s="5"/>
      <c r="AC14" s="5"/>
      <c r="AD14" s="5"/>
      <c r="AE14" s="5"/>
      <c r="AF14" s="5"/>
      <c r="AG14" s="5"/>
      <c r="AH14" s="5"/>
      <c r="AI14" s="5"/>
    </row>
    <row r="15" spans="7:35" x14ac:dyDescent="0.3">
      <c r="N15" s="5"/>
      <c r="O15" s="5"/>
      <c r="P15" s="5"/>
      <c r="Q15" s="5"/>
      <c r="R15" s="5"/>
      <c r="S15" s="5"/>
      <c r="T15" s="5"/>
      <c r="U15" s="5"/>
      <c r="V15" s="5"/>
      <c r="W15" s="5"/>
      <c r="X15" s="5"/>
      <c r="Y15" s="5"/>
      <c r="Z15" s="5"/>
      <c r="AA15" s="5"/>
      <c r="AB15" s="5"/>
      <c r="AC15" s="5"/>
      <c r="AD15" s="5"/>
      <c r="AE15" s="5"/>
      <c r="AF15" s="5"/>
      <c r="AG15" s="5"/>
      <c r="AH15" s="5"/>
      <c r="AI15" s="5"/>
    </row>
    <row r="16" spans="7:35" x14ac:dyDescent="0.3">
      <c r="N16" s="5"/>
      <c r="O16" s="5"/>
      <c r="P16" s="5"/>
      <c r="Q16" s="5"/>
      <c r="R16" s="5"/>
      <c r="S16" s="5"/>
      <c r="T16" s="5"/>
      <c r="U16" s="5"/>
      <c r="V16" s="5"/>
      <c r="W16" s="5"/>
      <c r="X16" s="5"/>
      <c r="Y16" s="5"/>
      <c r="Z16" s="5"/>
      <c r="AA16" s="5"/>
      <c r="AB16" s="5"/>
      <c r="AC16" s="5"/>
      <c r="AD16" s="5"/>
      <c r="AE16" s="5"/>
      <c r="AF16" s="5"/>
      <c r="AG16" s="5"/>
      <c r="AH16" s="5"/>
      <c r="AI16" s="5"/>
    </row>
    <row r="17" spans="14:35" x14ac:dyDescent="0.3">
      <c r="N17" s="5"/>
      <c r="O17" s="5"/>
      <c r="P17" s="5"/>
      <c r="Q17" s="5"/>
      <c r="R17" s="5"/>
      <c r="S17" s="5"/>
      <c r="T17" s="5"/>
      <c r="U17" s="5"/>
      <c r="V17" s="5"/>
      <c r="W17" s="5"/>
      <c r="X17" s="5"/>
      <c r="Y17" s="5"/>
      <c r="Z17" s="5"/>
      <c r="AA17" s="5"/>
      <c r="AB17" s="5"/>
      <c r="AC17" s="5"/>
      <c r="AD17" s="5"/>
      <c r="AE17" s="5"/>
      <c r="AF17" s="5"/>
      <c r="AG17" s="5"/>
      <c r="AH17" s="5"/>
      <c r="AI17" s="5"/>
    </row>
    <row r="18" spans="14:35" x14ac:dyDescent="0.3">
      <c r="N18" s="5"/>
      <c r="O18" s="5"/>
      <c r="P18" s="5"/>
      <c r="Q18" s="5"/>
      <c r="R18" s="5"/>
      <c r="S18" s="5"/>
      <c r="T18" s="5"/>
      <c r="U18" s="5"/>
      <c r="V18" s="5"/>
      <c r="W18" s="5"/>
      <c r="X18" s="5"/>
      <c r="Y18" s="5"/>
      <c r="Z18" s="5"/>
      <c r="AA18" s="5"/>
      <c r="AB18" s="5"/>
      <c r="AC18" s="5"/>
      <c r="AD18" s="5"/>
      <c r="AE18" s="5"/>
      <c r="AF18" s="5"/>
      <c r="AG18" s="5"/>
      <c r="AH18" s="5"/>
      <c r="AI18" s="5"/>
    </row>
    <row r="19" spans="14:35" x14ac:dyDescent="0.3">
      <c r="N19" s="5"/>
      <c r="O19" s="5"/>
      <c r="P19" s="5"/>
      <c r="Q19" s="5"/>
      <c r="R19" s="5"/>
      <c r="S19" s="5"/>
      <c r="T19" s="5"/>
      <c r="U19" s="5"/>
      <c r="V19" s="5"/>
      <c r="W19" s="5"/>
      <c r="X19" s="5"/>
      <c r="Y19" s="5"/>
      <c r="Z19" s="5"/>
      <c r="AA19" s="5"/>
      <c r="AB19" s="5"/>
      <c r="AC19" s="5"/>
      <c r="AD19" s="5"/>
      <c r="AE19" s="5"/>
      <c r="AF19" s="5"/>
      <c r="AG19" s="5"/>
      <c r="AH19" s="5"/>
      <c r="AI19" s="5"/>
    </row>
    <row r="20" spans="14:35" x14ac:dyDescent="0.3">
      <c r="N20" s="5"/>
      <c r="O20" s="5"/>
      <c r="P20" s="5"/>
      <c r="Q20" s="5"/>
      <c r="R20" s="5"/>
      <c r="S20" s="5"/>
      <c r="T20" s="5"/>
      <c r="U20" s="5"/>
      <c r="V20" s="5"/>
      <c r="W20" s="5"/>
      <c r="X20" s="5"/>
      <c r="Y20" s="5"/>
      <c r="Z20" s="5"/>
      <c r="AA20" s="5"/>
      <c r="AB20" s="5"/>
      <c r="AC20" s="5"/>
      <c r="AD20" s="5"/>
      <c r="AE20" s="5"/>
      <c r="AF20" s="5"/>
      <c r="AG20" s="5"/>
      <c r="AH20" s="5"/>
      <c r="AI20" s="5"/>
    </row>
    <row r="21" spans="14:35" x14ac:dyDescent="0.3">
      <c r="N21" s="5"/>
      <c r="O21" s="5"/>
      <c r="P21" s="5"/>
      <c r="Q21" s="5"/>
      <c r="R21" s="5"/>
      <c r="S21" s="5"/>
      <c r="T21" s="5"/>
      <c r="U21" s="5"/>
      <c r="V21" s="5"/>
      <c r="W21" s="5"/>
      <c r="X21" s="5"/>
      <c r="Y21" s="5"/>
      <c r="Z21" s="5"/>
      <c r="AA21" s="5"/>
      <c r="AB21" s="5"/>
      <c r="AC21" s="5"/>
      <c r="AD21" s="5"/>
      <c r="AE21" s="5"/>
      <c r="AF21" s="5"/>
      <c r="AG21" s="5"/>
      <c r="AH21" s="5"/>
      <c r="AI21" s="5"/>
    </row>
    <row r="22" spans="14:35" x14ac:dyDescent="0.3">
      <c r="N22" s="5"/>
      <c r="O22" s="5"/>
      <c r="P22" s="5"/>
      <c r="Q22" s="5"/>
      <c r="R22" s="5"/>
      <c r="S22" s="5"/>
      <c r="T22" s="5"/>
      <c r="U22" s="5"/>
      <c r="V22" s="5"/>
      <c r="W22" s="5"/>
      <c r="X22" s="5"/>
      <c r="Y22" s="5"/>
      <c r="Z22" s="5"/>
      <c r="AA22" s="5"/>
      <c r="AB22" s="5"/>
      <c r="AC22" s="5"/>
      <c r="AD22" s="5"/>
      <c r="AE22" s="5"/>
      <c r="AF22" s="5"/>
      <c r="AG22" s="5"/>
      <c r="AH22" s="5"/>
      <c r="AI22" s="5"/>
    </row>
    <row r="23" spans="14:35" x14ac:dyDescent="0.3">
      <c r="N23" s="5"/>
      <c r="O23" s="5"/>
      <c r="P23" s="5"/>
      <c r="Q23" s="5"/>
      <c r="R23" s="5"/>
      <c r="S23" s="5"/>
      <c r="T23" s="5"/>
      <c r="U23" s="5"/>
      <c r="V23" s="5"/>
      <c r="W23" s="5"/>
      <c r="X23" s="5"/>
      <c r="Y23" s="5"/>
      <c r="Z23" s="5"/>
      <c r="AA23" s="5"/>
      <c r="AB23" s="5"/>
      <c r="AC23" s="5"/>
      <c r="AD23" s="5"/>
      <c r="AE23" s="5"/>
      <c r="AF23" s="5"/>
      <c r="AG23" s="5"/>
      <c r="AH23" s="5"/>
      <c r="AI23" s="5"/>
    </row>
    <row r="24" spans="14:35" x14ac:dyDescent="0.3">
      <c r="N24" s="5"/>
      <c r="O24" s="5"/>
      <c r="P24" s="5"/>
      <c r="Q24" s="5"/>
      <c r="R24" s="5"/>
      <c r="S24" s="5"/>
      <c r="T24" s="5"/>
      <c r="U24" s="5"/>
      <c r="V24" s="5"/>
      <c r="W24" s="5"/>
      <c r="X24" s="5"/>
      <c r="Y24" s="5"/>
      <c r="Z24" s="5"/>
      <c r="AA24" s="5"/>
      <c r="AB24" s="5"/>
      <c r="AC24" s="5"/>
      <c r="AD24" s="5"/>
      <c r="AE24" s="5"/>
      <c r="AF24" s="5"/>
      <c r="AG24" s="5"/>
      <c r="AH24" s="5"/>
      <c r="AI24" s="5"/>
    </row>
    <row r="25" spans="14:35" x14ac:dyDescent="0.3">
      <c r="N25" s="5"/>
      <c r="O25" s="5"/>
      <c r="P25" s="5"/>
      <c r="Q25" s="5"/>
      <c r="R25" s="5"/>
      <c r="S25" s="5"/>
      <c r="T25" s="5"/>
      <c r="U25" s="5"/>
      <c r="V25" s="5"/>
      <c r="W25" s="5"/>
      <c r="X25" s="5"/>
      <c r="Y25" s="5"/>
      <c r="Z25" s="5"/>
      <c r="AA25" s="5"/>
      <c r="AB25" s="5"/>
      <c r="AC25" s="5"/>
      <c r="AD25" s="5"/>
      <c r="AE25" s="5"/>
      <c r="AF25" s="5"/>
      <c r="AG25" s="5"/>
      <c r="AH25" s="5"/>
      <c r="AI25" s="5"/>
    </row>
    <row r="26" spans="14:35" x14ac:dyDescent="0.3">
      <c r="N26" s="5"/>
      <c r="O26" s="5"/>
      <c r="P26" s="5"/>
      <c r="Q26" s="5"/>
      <c r="R26" s="5"/>
      <c r="S26" s="5"/>
      <c r="T26" s="5"/>
      <c r="U26" s="5"/>
      <c r="V26" s="5"/>
      <c r="W26" s="5"/>
      <c r="X26" s="5"/>
      <c r="Y26" s="5"/>
      <c r="Z26" s="5"/>
      <c r="AA26" s="5"/>
      <c r="AB26" s="5"/>
      <c r="AC26" s="5"/>
      <c r="AD26" s="5"/>
      <c r="AE26" s="5"/>
      <c r="AF26" s="5"/>
      <c r="AG26" s="5"/>
      <c r="AH26" s="5"/>
      <c r="AI26" s="5"/>
    </row>
    <row r="27" spans="14:35" x14ac:dyDescent="0.3">
      <c r="N27" s="5"/>
      <c r="O27" s="5"/>
      <c r="P27" s="5"/>
      <c r="Q27" s="5"/>
      <c r="R27" s="5"/>
      <c r="S27" s="5"/>
      <c r="T27" s="5"/>
      <c r="U27" s="5"/>
      <c r="V27" s="5"/>
      <c r="W27" s="5"/>
      <c r="X27" s="5"/>
      <c r="Y27" s="5"/>
      <c r="Z27" s="5"/>
      <c r="AA27" s="5"/>
      <c r="AB27" s="5"/>
      <c r="AC27" s="5"/>
      <c r="AD27" s="5"/>
      <c r="AE27" s="5"/>
      <c r="AF27" s="5"/>
      <c r="AG27" s="5"/>
      <c r="AH27" s="5"/>
      <c r="AI27" s="5"/>
    </row>
    <row r="28" spans="14:35" x14ac:dyDescent="0.3">
      <c r="N28" s="5"/>
      <c r="O28" s="5"/>
      <c r="P28" s="5"/>
      <c r="Q28" s="5"/>
      <c r="R28" s="5"/>
      <c r="S28" s="5"/>
      <c r="T28" s="5"/>
      <c r="U28" s="5"/>
      <c r="V28" s="5"/>
      <c r="W28" s="5"/>
      <c r="X28" s="5"/>
      <c r="Y28" s="5"/>
      <c r="Z28" s="5"/>
      <c r="AA28" s="5"/>
      <c r="AB28" s="5"/>
      <c r="AC28" s="5"/>
      <c r="AD28" s="5"/>
      <c r="AE28" s="5"/>
      <c r="AF28" s="5"/>
      <c r="AG28" s="5"/>
      <c r="AH28" s="5"/>
      <c r="AI28" s="5"/>
    </row>
    <row r="29" spans="14:35" x14ac:dyDescent="0.3">
      <c r="N29" s="5"/>
      <c r="O29" s="5"/>
      <c r="P29" s="5"/>
      <c r="R29" s="5"/>
      <c r="S29" s="5"/>
      <c r="T29" s="5"/>
      <c r="U29" s="5"/>
      <c r="V29" s="5"/>
      <c r="W29" s="5"/>
      <c r="X29" s="5"/>
      <c r="Y29" s="5"/>
      <c r="Z29" s="5"/>
      <c r="AA29" s="5"/>
      <c r="AB29" s="5"/>
      <c r="AC29" s="5"/>
      <c r="AD29" s="5"/>
      <c r="AE29" s="5"/>
      <c r="AF29" s="5"/>
      <c r="AG29" s="5"/>
      <c r="AH29" s="5"/>
      <c r="AI29" s="5"/>
    </row>
    <row r="30" spans="14:35" x14ac:dyDescent="0.3">
      <c r="N30" s="5"/>
      <c r="O30" s="5"/>
      <c r="P30" s="5"/>
      <c r="Q30" s="5"/>
      <c r="R30" s="5"/>
      <c r="S30" s="5"/>
      <c r="T30" s="5"/>
      <c r="U30" s="5"/>
      <c r="V30" s="5"/>
      <c r="W30" s="5"/>
      <c r="X30" s="5"/>
      <c r="Y30" s="5"/>
      <c r="Z30" s="5"/>
      <c r="AA30" s="5"/>
      <c r="AB30" s="5"/>
      <c r="AC30" s="5"/>
      <c r="AD30" s="5"/>
      <c r="AE30" s="5"/>
      <c r="AF30" s="5"/>
      <c r="AG30" s="5"/>
      <c r="AH30" s="5"/>
      <c r="AI30" s="5"/>
    </row>
    <row r="31" spans="14:35" x14ac:dyDescent="0.3">
      <c r="N31" s="5"/>
      <c r="O31" s="5"/>
      <c r="P31" s="5"/>
      <c r="Q31" s="5"/>
      <c r="R31" s="5"/>
      <c r="S31" s="5"/>
      <c r="T31" s="5"/>
      <c r="U31" s="5"/>
      <c r="V31" s="5"/>
      <c r="W31" s="5"/>
      <c r="X31" s="5"/>
      <c r="Y31" s="5"/>
      <c r="Z31" s="5"/>
      <c r="AA31" s="5"/>
      <c r="AB31" s="5"/>
      <c r="AC31" s="5"/>
      <c r="AD31" s="5"/>
      <c r="AE31" s="5"/>
      <c r="AF31" s="5"/>
      <c r="AG31" s="5"/>
      <c r="AH31" s="5"/>
      <c r="AI31" s="5"/>
    </row>
    <row r="32" spans="14:35" x14ac:dyDescent="0.3">
      <c r="N32" s="5"/>
      <c r="O32" s="5"/>
      <c r="P32" s="5"/>
      <c r="Q32" s="5"/>
      <c r="R32" s="5"/>
      <c r="S32" s="5"/>
      <c r="T32" s="5"/>
      <c r="U32" s="5"/>
      <c r="V32" s="5"/>
      <c r="W32" s="5"/>
      <c r="X32" s="5"/>
      <c r="Y32" s="5"/>
      <c r="Z32" s="5"/>
      <c r="AA32" s="5"/>
      <c r="AB32" s="5"/>
      <c r="AC32" s="5"/>
      <c r="AD32" s="5"/>
      <c r="AE32" s="5"/>
      <c r="AF32" s="5"/>
      <c r="AG32" s="5"/>
      <c r="AH32" s="5"/>
      <c r="AI32" s="5"/>
    </row>
    <row r="33" spans="14:37" x14ac:dyDescent="0.3">
      <c r="N33" s="5"/>
      <c r="O33" s="5"/>
      <c r="P33" s="5"/>
      <c r="Q33" s="5"/>
      <c r="R33" s="5"/>
      <c r="S33" s="5"/>
      <c r="T33" s="5"/>
      <c r="U33" s="5"/>
      <c r="V33" s="5"/>
      <c r="W33" s="5"/>
      <c r="X33" s="5"/>
      <c r="Y33" s="5"/>
      <c r="Z33" s="5"/>
      <c r="AA33" s="5"/>
      <c r="AB33" s="5"/>
      <c r="AC33" s="5"/>
      <c r="AD33" s="5"/>
      <c r="AE33" s="5"/>
      <c r="AF33" s="5"/>
      <c r="AG33" s="5"/>
      <c r="AH33" s="5"/>
      <c r="AI33" s="5"/>
    </row>
    <row r="34" spans="14:37" x14ac:dyDescent="0.3">
      <c r="N34" s="5"/>
      <c r="O34" s="5"/>
      <c r="P34" s="5"/>
      <c r="Q34" s="5"/>
      <c r="R34" s="5"/>
      <c r="S34" s="5"/>
      <c r="T34" s="5"/>
      <c r="U34" s="5"/>
      <c r="V34" s="5"/>
      <c r="W34" s="5"/>
      <c r="X34" s="5"/>
      <c r="Y34" s="5"/>
      <c r="Z34" s="5"/>
      <c r="AA34" s="5"/>
      <c r="AB34" s="5"/>
      <c r="AC34" s="5"/>
      <c r="AD34" s="5"/>
      <c r="AE34" s="5"/>
      <c r="AF34" s="5"/>
      <c r="AG34" s="5"/>
      <c r="AH34" s="5"/>
      <c r="AI34" s="5"/>
    </row>
    <row r="35" spans="14:37" x14ac:dyDescent="0.3">
      <c r="N35" s="5"/>
      <c r="O35" s="5"/>
      <c r="P35" s="5"/>
      <c r="Q35" s="5"/>
      <c r="R35" s="5"/>
      <c r="S35" s="5"/>
      <c r="T35" s="5"/>
      <c r="U35" s="5"/>
      <c r="V35" s="5"/>
      <c r="W35" s="5"/>
      <c r="X35" s="5"/>
      <c r="Y35" s="5"/>
      <c r="Z35" s="5"/>
      <c r="AA35" s="5"/>
      <c r="AB35" s="5"/>
      <c r="AC35" s="5"/>
      <c r="AD35" s="5"/>
      <c r="AE35" s="5"/>
      <c r="AF35" s="5"/>
      <c r="AG35" s="5"/>
      <c r="AH35" s="5"/>
      <c r="AI35" s="5"/>
    </row>
    <row r="36" spans="14:37" x14ac:dyDescent="0.3">
      <c r="N36" s="5"/>
      <c r="O36" s="5"/>
      <c r="P36" s="5"/>
      <c r="Q36" s="5"/>
      <c r="R36" s="5"/>
      <c r="S36" s="5"/>
      <c r="T36" s="5"/>
      <c r="U36" s="5"/>
      <c r="V36" s="5"/>
      <c r="W36" s="5"/>
      <c r="X36" s="5"/>
      <c r="Y36" s="5"/>
      <c r="Z36" s="5"/>
      <c r="AA36" s="5"/>
      <c r="AB36" s="5"/>
      <c r="AC36" s="5"/>
      <c r="AD36" s="5"/>
      <c r="AE36" s="5"/>
      <c r="AF36" s="5"/>
      <c r="AG36" s="5"/>
      <c r="AH36" s="5"/>
      <c r="AI36" s="5"/>
    </row>
    <row r="37" spans="14:37" x14ac:dyDescent="0.3">
      <c r="N37" s="5"/>
      <c r="O37" s="5"/>
      <c r="P37" s="5"/>
      <c r="Q37" s="5"/>
      <c r="R37" s="5"/>
      <c r="S37" s="5"/>
      <c r="T37" s="5"/>
      <c r="U37" s="5"/>
      <c r="V37" s="5"/>
      <c r="W37" s="5"/>
      <c r="X37" s="5"/>
      <c r="Y37" s="5"/>
      <c r="Z37" s="5"/>
      <c r="AA37" s="5"/>
      <c r="AB37" s="5"/>
      <c r="AC37" s="5"/>
      <c r="AD37" s="5"/>
      <c r="AE37" s="5"/>
      <c r="AF37" s="5"/>
      <c r="AG37" s="5"/>
      <c r="AH37" s="5"/>
      <c r="AI37" s="5"/>
    </row>
    <row r="38" spans="14:37" x14ac:dyDescent="0.3">
      <c r="N38" s="5"/>
      <c r="O38" s="5"/>
      <c r="P38" s="5"/>
      <c r="Q38" s="5"/>
      <c r="R38" s="5"/>
      <c r="S38" s="5"/>
      <c r="T38" s="5"/>
      <c r="U38" s="5"/>
      <c r="V38" s="5"/>
      <c r="W38" s="5"/>
      <c r="X38" s="5"/>
      <c r="Y38" s="5"/>
      <c r="Z38" s="5"/>
      <c r="AA38" s="5"/>
      <c r="AB38" s="5"/>
      <c r="AC38" s="5"/>
      <c r="AD38" s="5"/>
      <c r="AE38" s="5"/>
      <c r="AF38" s="5"/>
      <c r="AG38" s="5"/>
      <c r="AH38" s="5"/>
      <c r="AI38" s="5"/>
    </row>
    <row r="39" spans="14:37" x14ac:dyDescent="0.3">
      <c r="N39" s="5"/>
      <c r="O39" s="5"/>
      <c r="P39" s="5"/>
      <c r="Q39" s="5"/>
      <c r="R39" s="5"/>
      <c r="S39" s="5"/>
      <c r="T39" s="5"/>
      <c r="U39" s="5"/>
      <c r="V39" s="5"/>
      <c r="W39" s="5"/>
      <c r="X39" s="5"/>
      <c r="Y39" s="5"/>
      <c r="Z39" s="5"/>
      <c r="AA39" s="5"/>
      <c r="AB39" s="5"/>
      <c r="AC39" s="5"/>
      <c r="AD39" s="5"/>
      <c r="AE39" s="5"/>
      <c r="AF39" s="5"/>
      <c r="AG39" s="5"/>
      <c r="AH39" s="5"/>
      <c r="AI39" s="5"/>
    </row>
    <row r="40" spans="14:37" x14ac:dyDescent="0.3">
      <c r="N40" s="5"/>
      <c r="O40" s="5"/>
      <c r="P40" s="5"/>
      <c r="Q40" s="5"/>
      <c r="R40" s="5"/>
      <c r="S40" s="5"/>
      <c r="T40" s="5"/>
      <c r="U40" s="5"/>
      <c r="V40" s="5"/>
      <c r="W40" s="5"/>
      <c r="X40" s="5"/>
      <c r="Y40" s="5"/>
      <c r="Z40" s="5"/>
      <c r="AA40" s="5"/>
      <c r="AB40" s="5"/>
      <c r="AC40" s="5"/>
      <c r="AD40" s="5"/>
      <c r="AE40" s="5"/>
      <c r="AF40" s="5"/>
      <c r="AG40" s="5"/>
      <c r="AH40" s="5"/>
      <c r="AI40" s="5"/>
    </row>
    <row r="41" spans="14:37" x14ac:dyDescent="0.3">
      <c r="N41" s="5"/>
      <c r="O41" s="5"/>
      <c r="P41" s="5"/>
      <c r="Q41" s="5"/>
      <c r="R41" s="5"/>
      <c r="S41" s="5"/>
      <c r="T41" s="5"/>
      <c r="U41" s="5"/>
      <c r="V41" s="5"/>
      <c r="W41" s="5"/>
      <c r="X41" s="5"/>
      <c r="Y41" s="5"/>
      <c r="Z41" s="5"/>
      <c r="AA41" s="5"/>
      <c r="AB41" s="5"/>
      <c r="AC41" s="5"/>
      <c r="AD41" s="5"/>
      <c r="AE41" s="5"/>
      <c r="AF41" s="5"/>
      <c r="AG41" s="5"/>
      <c r="AH41" s="5"/>
      <c r="AI41" s="5"/>
    </row>
    <row r="42" spans="14:37" ht="16.2" x14ac:dyDescent="0.3">
      <c r="N42" s="5"/>
      <c r="O42" s="5"/>
      <c r="P42" s="5"/>
      <c r="Q42" s="5"/>
      <c r="R42" s="5"/>
      <c r="S42" s="5"/>
      <c r="T42" s="5"/>
      <c r="U42" s="5"/>
      <c r="V42" s="5"/>
      <c r="W42" s="5"/>
      <c r="X42" s="5"/>
      <c r="Y42" s="5"/>
      <c r="Z42" s="5"/>
      <c r="AA42" s="5"/>
      <c r="AB42" s="5"/>
      <c r="AC42" s="5"/>
      <c r="AD42" s="5"/>
      <c r="AE42" s="5"/>
      <c r="AF42" s="5"/>
      <c r="AG42" s="5"/>
      <c r="AH42" s="5"/>
      <c r="AI42" s="5"/>
      <c r="AK42" s="14"/>
    </row>
    <row r="43" spans="14:37" x14ac:dyDescent="0.3">
      <c r="N43" s="5"/>
      <c r="O43" s="5"/>
      <c r="P43" s="5"/>
      <c r="Q43" s="5"/>
      <c r="R43" s="5"/>
      <c r="S43" s="5"/>
      <c r="T43" s="5"/>
      <c r="U43" s="5"/>
      <c r="V43" s="5"/>
      <c r="W43" s="5"/>
      <c r="X43" s="5"/>
      <c r="Y43" s="5"/>
      <c r="Z43" s="5"/>
      <c r="AA43" s="5"/>
      <c r="AB43" s="5"/>
      <c r="AC43" s="5"/>
      <c r="AD43" s="5"/>
      <c r="AE43" s="5"/>
      <c r="AF43" s="5"/>
      <c r="AG43" s="5"/>
      <c r="AH43" s="5"/>
      <c r="AI43"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7992D-DC7A-46A9-BCDF-0C488336BBB2}">
  <dimension ref="A1:M16"/>
  <sheetViews>
    <sheetView workbookViewId="0"/>
  </sheetViews>
  <sheetFormatPr defaultRowHeight="14.4" x14ac:dyDescent="0.3"/>
  <cols>
    <col min="1" max="1" width="39.6640625" bestFit="1" customWidth="1"/>
    <col min="2" max="3" width="45.5546875" bestFit="1" customWidth="1"/>
    <col min="4" max="4" width="38.109375" bestFit="1" customWidth="1"/>
    <col min="5" max="5" width="44.33203125" bestFit="1" customWidth="1"/>
    <col min="6" max="6" width="41.33203125" bestFit="1" customWidth="1"/>
    <col min="7" max="7" width="42.109375" bestFit="1" customWidth="1"/>
    <col min="8" max="11" width="45.5546875" bestFit="1" customWidth="1"/>
    <col min="12" max="12" width="40.5546875" bestFit="1" customWidth="1"/>
    <col min="13" max="13" width="45.5546875" bestFit="1" customWidth="1"/>
  </cols>
  <sheetData>
    <row r="1" spans="1:13" x14ac:dyDescent="0.3">
      <c r="A1" t="s">
        <v>116</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37</v>
      </c>
      <c r="B4" s="3">
        <v>45323</v>
      </c>
      <c r="C4" t="s">
        <v>30</v>
      </c>
      <c r="D4" t="s">
        <v>38</v>
      </c>
      <c r="E4" t="s">
        <v>32</v>
      </c>
      <c r="F4">
        <v>5</v>
      </c>
      <c r="G4" t="s">
        <v>17</v>
      </c>
      <c r="H4" t="s">
        <v>18</v>
      </c>
      <c r="I4" t="s">
        <v>36</v>
      </c>
      <c r="K4">
        <v>50</v>
      </c>
      <c r="L4" t="s">
        <v>27</v>
      </c>
      <c r="M4" t="s">
        <v>23</v>
      </c>
    </row>
    <row r="5" spans="1:13" x14ac:dyDescent="0.3">
      <c r="A5" t="s">
        <v>78</v>
      </c>
      <c r="B5" s="3">
        <v>45323</v>
      </c>
      <c r="C5" t="s">
        <v>39</v>
      </c>
      <c r="D5" t="s">
        <v>79</v>
      </c>
      <c r="E5" t="s">
        <v>16</v>
      </c>
      <c r="F5">
        <v>19</v>
      </c>
      <c r="G5" t="s">
        <v>80</v>
      </c>
      <c r="H5" t="s">
        <v>18</v>
      </c>
      <c r="I5" t="s">
        <v>36</v>
      </c>
      <c r="K5">
        <v>38</v>
      </c>
      <c r="L5" t="s">
        <v>22</v>
      </c>
      <c r="M5" t="s">
        <v>23</v>
      </c>
    </row>
    <row r="6" spans="1:13" x14ac:dyDescent="0.3">
      <c r="A6" t="s">
        <v>81</v>
      </c>
      <c r="B6" s="3">
        <v>45323</v>
      </c>
      <c r="C6" t="s">
        <v>31</v>
      </c>
      <c r="D6" t="s">
        <v>82</v>
      </c>
      <c r="E6" t="s">
        <v>16</v>
      </c>
      <c r="F6">
        <v>64</v>
      </c>
      <c r="G6" t="s">
        <v>83</v>
      </c>
      <c r="H6" t="s">
        <v>18</v>
      </c>
      <c r="I6" t="s">
        <v>36</v>
      </c>
      <c r="K6">
        <v>47</v>
      </c>
      <c r="L6" t="s">
        <v>20</v>
      </c>
      <c r="M6" t="s">
        <v>23</v>
      </c>
    </row>
    <row r="7" spans="1:13" x14ac:dyDescent="0.3">
      <c r="A7" t="s">
        <v>84</v>
      </c>
      <c r="B7" s="3">
        <v>45323</v>
      </c>
      <c r="C7" t="s">
        <v>35</v>
      </c>
      <c r="D7" t="s">
        <v>85</v>
      </c>
      <c r="E7" t="s">
        <v>16</v>
      </c>
      <c r="F7">
        <v>54</v>
      </c>
      <c r="G7" t="s">
        <v>86</v>
      </c>
      <c r="H7" t="s">
        <v>18</v>
      </c>
      <c r="I7" t="s">
        <v>19</v>
      </c>
      <c r="K7">
        <v>60</v>
      </c>
      <c r="L7" t="s">
        <v>26</v>
      </c>
      <c r="M7" t="s">
        <v>23</v>
      </c>
    </row>
    <row r="8" spans="1:13" x14ac:dyDescent="0.3">
      <c r="A8" t="s">
        <v>87</v>
      </c>
      <c r="B8" s="3">
        <v>45323</v>
      </c>
      <c r="C8" t="s">
        <v>88</v>
      </c>
      <c r="D8" t="s">
        <v>89</v>
      </c>
      <c r="E8" t="s">
        <v>32</v>
      </c>
      <c r="F8">
        <v>48</v>
      </c>
      <c r="G8" t="s">
        <v>86</v>
      </c>
      <c r="H8" t="s">
        <v>90</v>
      </c>
      <c r="I8" t="s">
        <v>36</v>
      </c>
      <c r="K8">
        <v>25</v>
      </c>
      <c r="L8" t="s">
        <v>25</v>
      </c>
      <c r="M8" t="s">
        <v>21</v>
      </c>
    </row>
    <row r="9" spans="1:13" x14ac:dyDescent="0.3">
      <c r="A9" t="s">
        <v>91</v>
      </c>
      <c r="B9" s="3">
        <v>45323</v>
      </c>
      <c r="C9" t="s">
        <v>92</v>
      </c>
      <c r="D9" t="s">
        <v>93</v>
      </c>
      <c r="E9" t="s">
        <v>16</v>
      </c>
      <c r="F9">
        <v>26</v>
      </c>
      <c r="G9" t="s">
        <v>80</v>
      </c>
      <c r="H9" t="s">
        <v>90</v>
      </c>
      <c r="I9" t="s">
        <v>19</v>
      </c>
      <c r="K9">
        <v>12</v>
      </c>
      <c r="L9" t="s">
        <v>28</v>
      </c>
      <c r="M9" t="s">
        <v>21</v>
      </c>
    </row>
    <row r="10" spans="1:13" x14ac:dyDescent="0.3">
      <c r="A10" t="s">
        <v>94</v>
      </c>
      <c r="B10" s="3">
        <v>45323</v>
      </c>
      <c r="C10" t="s">
        <v>33</v>
      </c>
      <c r="D10" t="s">
        <v>95</v>
      </c>
      <c r="E10" t="s">
        <v>16</v>
      </c>
      <c r="F10">
        <v>8</v>
      </c>
      <c r="G10" t="s">
        <v>96</v>
      </c>
      <c r="H10" t="s">
        <v>97</v>
      </c>
      <c r="I10" t="s">
        <v>36</v>
      </c>
      <c r="K10">
        <v>33</v>
      </c>
      <c r="L10" t="s">
        <v>27</v>
      </c>
      <c r="M10" t="s">
        <v>23</v>
      </c>
    </row>
    <row r="11" spans="1:13" x14ac:dyDescent="0.3">
      <c r="A11" t="s">
        <v>98</v>
      </c>
      <c r="B11" s="3">
        <v>45323</v>
      </c>
      <c r="C11" t="s">
        <v>99</v>
      </c>
      <c r="D11" t="s">
        <v>100</v>
      </c>
      <c r="E11" t="s">
        <v>32</v>
      </c>
      <c r="F11">
        <v>32</v>
      </c>
      <c r="G11" t="s">
        <v>17</v>
      </c>
      <c r="H11" t="s">
        <v>101</v>
      </c>
      <c r="I11" t="s">
        <v>36</v>
      </c>
      <c r="J11">
        <v>5</v>
      </c>
      <c r="K11">
        <v>60</v>
      </c>
      <c r="L11" t="s">
        <v>29</v>
      </c>
      <c r="M11" t="s">
        <v>23</v>
      </c>
    </row>
    <row r="12" spans="1:13" x14ac:dyDescent="0.3">
      <c r="A12" t="s">
        <v>102</v>
      </c>
      <c r="B12" s="3">
        <v>45323</v>
      </c>
      <c r="C12" t="s">
        <v>34</v>
      </c>
      <c r="D12" t="s">
        <v>103</v>
      </c>
      <c r="E12" t="s">
        <v>32</v>
      </c>
      <c r="F12">
        <v>66</v>
      </c>
      <c r="G12" t="s">
        <v>80</v>
      </c>
      <c r="H12" t="s">
        <v>97</v>
      </c>
      <c r="I12" t="s">
        <v>36</v>
      </c>
      <c r="J12">
        <v>1</v>
      </c>
      <c r="K12">
        <v>16</v>
      </c>
      <c r="L12" t="s">
        <v>20</v>
      </c>
      <c r="M12" t="s">
        <v>21</v>
      </c>
    </row>
    <row r="13" spans="1:13" x14ac:dyDescent="0.3">
      <c r="A13" t="s">
        <v>104</v>
      </c>
      <c r="B13" s="3">
        <v>45323</v>
      </c>
      <c r="C13" t="s">
        <v>105</v>
      </c>
      <c r="D13" t="s">
        <v>106</v>
      </c>
      <c r="E13" t="s">
        <v>16</v>
      </c>
      <c r="F13">
        <v>21</v>
      </c>
      <c r="G13" t="s">
        <v>83</v>
      </c>
      <c r="H13" t="s">
        <v>90</v>
      </c>
      <c r="I13" t="s">
        <v>19</v>
      </c>
      <c r="J13">
        <v>4</v>
      </c>
      <c r="K13">
        <v>36</v>
      </c>
      <c r="L13" t="s">
        <v>28</v>
      </c>
      <c r="M13" t="s">
        <v>23</v>
      </c>
    </row>
    <row r="14" spans="1:13" x14ac:dyDescent="0.3">
      <c r="A14" t="s">
        <v>107</v>
      </c>
      <c r="B14" s="3">
        <v>45323</v>
      </c>
      <c r="C14" t="s">
        <v>108</v>
      </c>
      <c r="D14" t="s">
        <v>109</v>
      </c>
      <c r="E14" t="s">
        <v>32</v>
      </c>
      <c r="F14">
        <v>39</v>
      </c>
      <c r="G14" t="s">
        <v>17</v>
      </c>
      <c r="H14" t="s">
        <v>90</v>
      </c>
      <c r="I14" t="s">
        <v>36</v>
      </c>
      <c r="J14">
        <v>8</v>
      </c>
      <c r="K14">
        <v>37</v>
      </c>
      <c r="L14" t="s">
        <v>29</v>
      </c>
      <c r="M14" t="s">
        <v>23</v>
      </c>
    </row>
    <row r="15" spans="1:13" x14ac:dyDescent="0.3">
      <c r="A15" t="s">
        <v>110</v>
      </c>
      <c r="B15" s="3">
        <v>45323</v>
      </c>
      <c r="C15" t="s">
        <v>111</v>
      </c>
      <c r="D15" t="s">
        <v>112</v>
      </c>
      <c r="E15" t="s">
        <v>16</v>
      </c>
      <c r="F15">
        <v>15</v>
      </c>
      <c r="G15" t="s">
        <v>83</v>
      </c>
      <c r="H15" t="s">
        <v>18</v>
      </c>
      <c r="I15" t="s">
        <v>36</v>
      </c>
      <c r="J15">
        <v>7</v>
      </c>
      <c r="K15">
        <v>37</v>
      </c>
      <c r="L15" t="s">
        <v>22</v>
      </c>
      <c r="M15" t="s">
        <v>23</v>
      </c>
    </row>
    <row r="16" spans="1:13" x14ac:dyDescent="0.3">
      <c r="A16" t="s">
        <v>113</v>
      </c>
      <c r="B16" s="3">
        <v>45323</v>
      </c>
      <c r="C16" t="s">
        <v>114</v>
      </c>
      <c r="D16" t="s">
        <v>115</v>
      </c>
      <c r="E16" t="s">
        <v>16</v>
      </c>
      <c r="F16">
        <v>78</v>
      </c>
      <c r="G16" t="s">
        <v>17</v>
      </c>
      <c r="H16" t="s">
        <v>18</v>
      </c>
      <c r="I16" t="s">
        <v>36</v>
      </c>
      <c r="J16">
        <v>0</v>
      </c>
      <c r="K16">
        <v>13</v>
      </c>
      <c r="L16" t="s">
        <v>24</v>
      </c>
      <c r="M16"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DA5AA-BD50-4A95-AFE2-A6E923446DCF}">
  <dimension ref="A3:P92"/>
  <sheetViews>
    <sheetView topLeftCell="A31" zoomScaleNormal="100" workbookViewId="0">
      <selection activeCell="D48" sqref="D48"/>
    </sheetView>
  </sheetViews>
  <sheetFormatPr defaultRowHeight="14.4" x14ac:dyDescent="0.3"/>
  <cols>
    <col min="1" max="1" width="14.77734375" customWidth="1"/>
    <col min="2" max="2" width="8" customWidth="1"/>
    <col min="3" max="3" width="7.88671875" customWidth="1"/>
    <col min="4" max="4" width="15.6640625" customWidth="1"/>
    <col min="5" max="5" width="33" customWidth="1"/>
    <col min="7" max="7" width="8.88671875" customWidth="1"/>
    <col min="10" max="10" width="15.109375" customWidth="1"/>
    <col min="11" max="11" width="24.88671875" customWidth="1"/>
    <col min="12" max="12" width="14.6640625" customWidth="1"/>
    <col min="13" max="13" width="19" customWidth="1"/>
    <col min="14" max="14" width="23.77734375" customWidth="1"/>
  </cols>
  <sheetData>
    <row r="3" spans="1:16" x14ac:dyDescent="0.3">
      <c r="A3" t="s">
        <v>1</v>
      </c>
    </row>
    <row r="4" spans="1:16" x14ac:dyDescent="0.3">
      <c r="A4" t="s">
        <v>0</v>
      </c>
    </row>
    <row r="5" spans="1:16" x14ac:dyDescent="0.3">
      <c r="A5" s="1">
        <v>494</v>
      </c>
      <c r="E5" t="s">
        <v>76</v>
      </c>
      <c r="O5" s="2"/>
      <c r="P5" s="2"/>
    </row>
    <row r="6" spans="1:16" x14ac:dyDescent="0.3">
      <c r="E6" s="2" t="s">
        <v>42</v>
      </c>
      <c r="F6" t="s">
        <v>0</v>
      </c>
      <c r="J6" t="s">
        <v>77</v>
      </c>
      <c r="M6" t="s">
        <v>117</v>
      </c>
    </row>
    <row r="7" spans="1:16" x14ac:dyDescent="0.3">
      <c r="E7" s="6" t="s">
        <v>45</v>
      </c>
      <c r="F7" s="1">
        <v>14</v>
      </c>
      <c r="J7" s="2" t="s">
        <v>42</v>
      </c>
      <c r="K7" t="s">
        <v>2</v>
      </c>
      <c r="L7" s="2"/>
      <c r="M7" s="2" t="s">
        <v>42</v>
      </c>
      <c r="N7" t="s">
        <v>40</v>
      </c>
      <c r="P7" s="2"/>
    </row>
    <row r="8" spans="1:16" x14ac:dyDescent="0.3">
      <c r="A8" t="s">
        <v>2</v>
      </c>
      <c r="E8" s="6" t="s">
        <v>46</v>
      </c>
      <c r="F8" s="1">
        <v>15</v>
      </c>
      <c r="J8" s="6" t="s">
        <v>45</v>
      </c>
      <c r="K8" s="4">
        <v>35.714285714285715</v>
      </c>
      <c r="M8" s="6" t="s">
        <v>45</v>
      </c>
      <c r="N8" s="4">
        <v>8</v>
      </c>
    </row>
    <row r="9" spans="1:16" x14ac:dyDescent="0.3">
      <c r="A9" s="4">
        <v>36.392712550607285</v>
      </c>
      <c r="E9" s="6" t="s">
        <v>47</v>
      </c>
      <c r="F9" s="1">
        <v>17</v>
      </c>
      <c r="J9" s="6" t="s">
        <v>46</v>
      </c>
      <c r="K9" s="4">
        <v>38.533333333333331</v>
      </c>
      <c r="M9" s="6" t="s">
        <v>46</v>
      </c>
      <c r="N9" s="4">
        <v>4</v>
      </c>
    </row>
    <row r="10" spans="1:16" x14ac:dyDescent="0.3">
      <c r="E10" s="6" t="s">
        <v>48</v>
      </c>
      <c r="F10" s="1">
        <v>12</v>
      </c>
      <c r="J10" s="6" t="s">
        <v>47</v>
      </c>
      <c r="K10" s="4">
        <v>38.941176470588232</v>
      </c>
      <c r="M10" s="6" t="s">
        <v>47</v>
      </c>
      <c r="N10" s="4">
        <v>5.333333333333333</v>
      </c>
    </row>
    <row r="11" spans="1:16" x14ac:dyDescent="0.3">
      <c r="E11" s="6" t="s">
        <v>49</v>
      </c>
      <c r="F11" s="1">
        <v>23</v>
      </c>
      <c r="J11" s="6" t="s">
        <v>48</v>
      </c>
      <c r="K11" s="4">
        <v>35.666666666666664</v>
      </c>
      <c r="M11" s="6" t="s">
        <v>48</v>
      </c>
      <c r="N11" s="4">
        <v>4.666666666666667</v>
      </c>
    </row>
    <row r="12" spans="1:16" x14ac:dyDescent="0.3">
      <c r="A12" t="s">
        <v>40</v>
      </c>
      <c r="E12" s="6" t="s">
        <v>50</v>
      </c>
      <c r="F12" s="1">
        <v>10</v>
      </c>
      <c r="J12" s="6" t="s">
        <v>49</v>
      </c>
      <c r="K12" s="4">
        <v>39.478260869565219</v>
      </c>
      <c r="M12" s="6" t="s">
        <v>49</v>
      </c>
      <c r="N12" s="4">
        <v>6.2</v>
      </c>
    </row>
    <row r="13" spans="1:16" x14ac:dyDescent="0.3">
      <c r="A13" s="4">
        <v>5.0629921259842519</v>
      </c>
      <c r="E13" s="6" t="s">
        <v>51</v>
      </c>
      <c r="F13" s="1">
        <v>18</v>
      </c>
      <c r="J13" s="6" t="s">
        <v>50</v>
      </c>
      <c r="K13" s="4">
        <v>25.1</v>
      </c>
      <c r="M13" s="6" t="s">
        <v>50</v>
      </c>
      <c r="N13" s="4">
        <v>6.333333333333333</v>
      </c>
    </row>
    <row r="14" spans="1:16" x14ac:dyDescent="0.3">
      <c r="E14" s="6" t="s">
        <v>52</v>
      </c>
      <c r="F14" s="1">
        <v>11</v>
      </c>
      <c r="J14" s="6" t="s">
        <v>51</v>
      </c>
      <c r="K14" s="4">
        <v>43.666666666666664</v>
      </c>
      <c r="M14" s="6" t="s">
        <v>51</v>
      </c>
      <c r="N14" s="4">
        <v>9.5</v>
      </c>
    </row>
    <row r="15" spans="1:16" x14ac:dyDescent="0.3">
      <c r="E15" s="6" t="s">
        <v>53</v>
      </c>
      <c r="F15" s="1">
        <v>12</v>
      </c>
      <c r="J15" s="6" t="s">
        <v>52</v>
      </c>
      <c r="K15" s="4">
        <v>38.090909090909093</v>
      </c>
      <c r="M15" s="6" t="s">
        <v>52</v>
      </c>
      <c r="N15" s="4">
        <v>2</v>
      </c>
    </row>
    <row r="16" spans="1:16" x14ac:dyDescent="0.3">
      <c r="E16" s="6" t="s">
        <v>54</v>
      </c>
      <c r="F16" s="1">
        <v>24</v>
      </c>
      <c r="J16" s="6" t="s">
        <v>53</v>
      </c>
      <c r="K16" s="4">
        <v>28.25</v>
      </c>
      <c r="M16" s="6" t="s">
        <v>53</v>
      </c>
      <c r="N16" s="4">
        <v>6.666666666666667</v>
      </c>
    </row>
    <row r="17" spans="5:14" x14ac:dyDescent="0.3">
      <c r="E17" s="6" t="s">
        <v>55</v>
      </c>
      <c r="F17" s="1">
        <v>16</v>
      </c>
      <c r="J17" s="6" t="s">
        <v>54</v>
      </c>
      <c r="K17" s="4">
        <v>36.291666666666664</v>
      </c>
      <c r="M17" s="6" t="s">
        <v>54</v>
      </c>
      <c r="N17" s="4">
        <v>2.25</v>
      </c>
    </row>
    <row r="18" spans="5:14" x14ac:dyDescent="0.3">
      <c r="E18" s="6" t="s">
        <v>56</v>
      </c>
      <c r="F18" s="1">
        <v>21</v>
      </c>
      <c r="J18" s="6" t="s">
        <v>55</v>
      </c>
      <c r="K18" s="4">
        <v>31.875</v>
      </c>
      <c r="M18" s="6" t="s">
        <v>55</v>
      </c>
      <c r="N18" s="4">
        <v>3</v>
      </c>
    </row>
    <row r="19" spans="5:14" x14ac:dyDescent="0.3">
      <c r="E19" s="6" t="s">
        <v>57</v>
      </c>
      <c r="F19" s="1">
        <v>16</v>
      </c>
      <c r="J19" s="6" t="s">
        <v>56</v>
      </c>
      <c r="K19" s="4">
        <v>32.333333333333336</v>
      </c>
      <c r="M19" s="6" t="s">
        <v>56</v>
      </c>
      <c r="N19" s="4">
        <v>4.7142857142857144</v>
      </c>
    </row>
    <row r="20" spans="5:14" x14ac:dyDescent="0.3">
      <c r="E20" s="6" t="s">
        <v>58</v>
      </c>
      <c r="F20" s="1">
        <v>15</v>
      </c>
      <c r="J20" s="6" t="s">
        <v>57</v>
      </c>
      <c r="K20" s="4">
        <v>36.3125</v>
      </c>
      <c r="M20" s="6" t="s">
        <v>57</v>
      </c>
      <c r="N20" s="4">
        <v>10</v>
      </c>
    </row>
    <row r="21" spans="5:14" x14ac:dyDescent="0.3">
      <c r="E21" s="6" t="s">
        <v>59</v>
      </c>
      <c r="F21" s="1">
        <v>14</v>
      </c>
      <c r="J21" s="6" t="s">
        <v>58</v>
      </c>
      <c r="K21" s="4">
        <v>41.133333333333333</v>
      </c>
      <c r="M21" s="6" t="s">
        <v>58</v>
      </c>
      <c r="N21" s="4">
        <v>5.666666666666667</v>
      </c>
    </row>
    <row r="22" spans="5:14" x14ac:dyDescent="0.3">
      <c r="E22" s="6" t="s">
        <v>60</v>
      </c>
      <c r="F22" s="1">
        <v>18</v>
      </c>
      <c r="J22" s="6" t="s">
        <v>59</v>
      </c>
      <c r="K22" s="4">
        <v>32.071428571428569</v>
      </c>
      <c r="M22" s="6" t="s">
        <v>59</v>
      </c>
      <c r="N22" s="4">
        <v>5</v>
      </c>
    </row>
    <row r="23" spans="5:14" x14ac:dyDescent="0.3">
      <c r="E23" s="6" t="s">
        <v>61</v>
      </c>
      <c r="F23" s="1">
        <v>12</v>
      </c>
      <c r="J23" s="6" t="s">
        <v>60</v>
      </c>
      <c r="K23" s="4">
        <v>34.222222222222221</v>
      </c>
      <c r="M23" s="6" t="s">
        <v>60</v>
      </c>
      <c r="N23" s="4">
        <v>3</v>
      </c>
    </row>
    <row r="24" spans="5:14" x14ac:dyDescent="0.3">
      <c r="E24" s="6" t="s">
        <v>62</v>
      </c>
      <c r="F24" s="1">
        <v>18</v>
      </c>
      <c r="J24" s="6" t="s">
        <v>61</v>
      </c>
      <c r="K24" s="4">
        <v>43.666666666666664</v>
      </c>
      <c r="M24" s="6" t="s">
        <v>61</v>
      </c>
      <c r="N24" s="4">
        <v>5.333333333333333</v>
      </c>
    </row>
    <row r="25" spans="5:14" x14ac:dyDescent="0.3">
      <c r="E25" s="6" t="s">
        <v>63</v>
      </c>
      <c r="F25" s="1">
        <v>16</v>
      </c>
      <c r="J25" s="6" t="s">
        <v>62</v>
      </c>
      <c r="K25" s="4">
        <v>38.5</v>
      </c>
      <c r="M25" s="6" t="s">
        <v>62</v>
      </c>
      <c r="N25" s="4">
        <v>5.833333333333333</v>
      </c>
    </row>
    <row r="26" spans="5:14" x14ac:dyDescent="0.3">
      <c r="E26" s="6" t="s">
        <v>64</v>
      </c>
      <c r="F26" s="1">
        <v>22</v>
      </c>
      <c r="J26" s="6" t="s">
        <v>63</v>
      </c>
      <c r="K26" s="4">
        <v>32.6875</v>
      </c>
      <c r="M26" s="6" t="s">
        <v>63</v>
      </c>
      <c r="N26" s="4">
        <v>5.8</v>
      </c>
    </row>
    <row r="27" spans="5:14" x14ac:dyDescent="0.3">
      <c r="E27" s="6" t="s">
        <v>65</v>
      </c>
      <c r="F27" s="1">
        <v>16</v>
      </c>
      <c r="J27" s="6" t="s">
        <v>64</v>
      </c>
      <c r="K27" s="4">
        <v>41.045454545454547</v>
      </c>
      <c r="M27" s="6" t="s">
        <v>64</v>
      </c>
      <c r="N27" s="4">
        <v>5.2</v>
      </c>
    </row>
    <row r="28" spans="5:14" x14ac:dyDescent="0.3">
      <c r="E28" s="6" t="s">
        <v>66</v>
      </c>
      <c r="F28" s="1">
        <v>10</v>
      </c>
      <c r="J28" s="6" t="s">
        <v>65</v>
      </c>
      <c r="K28" s="4">
        <v>36.6875</v>
      </c>
      <c r="M28" s="6" t="s">
        <v>65</v>
      </c>
      <c r="N28" s="4">
        <v>4.5</v>
      </c>
    </row>
    <row r="29" spans="5:14" x14ac:dyDescent="0.3">
      <c r="E29" s="6" t="s">
        <v>67</v>
      </c>
      <c r="F29" s="1">
        <v>18</v>
      </c>
      <c r="J29" s="6" t="s">
        <v>66</v>
      </c>
      <c r="K29" s="4">
        <v>38.5</v>
      </c>
      <c r="M29" s="6" t="s">
        <v>66</v>
      </c>
      <c r="N29" s="4">
        <v>6</v>
      </c>
    </row>
    <row r="30" spans="5:14" x14ac:dyDescent="0.3">
      <c r="E30" s="6" t="s">
        <v>68</v>
      </c>
      <c r="F30" s="1">
        <v>13</v>
      </c>
      <c r="J30" s="6" t="s">
        <v>67</v>
      </c>
      <c r="K30" s="4">
        <v>33.777777777777779</v>
      </c>
      <c r="M30" s="6" t="s">
        <v>67</v>
      </c>
      <c r="N30" s="4">
        <v>6.5</v>
      </c>
    </row>
    <row r="31" spans="5:14" x14ac:dyDescent="0.3">
      <c r="E31" s="6" t="s">
        <v>69</v>
      </c>
      <c r="F31" s="1">
        <v>20</v>
      </c>
      <c r="J31" s="6" t="s">
        <v>68</v>
      </c>
      <c r="K31" s="4">
        <v>41.692307692307693</v>
      </c>
      <c r="M31" s="6" t="s">
        <v>68</v>
      </c>
      <c r="N31" s="4">
        <v>4.166666666666667</v>
      </c>
    </row>
    <row r="32" spans="5:14" x14ac:dyDescent="0.3">
      <c r="E32" s="6" t="s">
        <v>70</v>
      </c>
      <c r="F32" s="1">
        <v>17</v>
      </c>
      <c r="J32" s="6" t="s">
        <v>69</v>
      </c>
      <c r="K32" s="4">
        <v>31.7</v>
      </c>
      <c r="M32" s="6" t="s">
        <v>69</v>
      </c>
      <c r="N32" s="4">
        <v>3.6666666666666665</v>
      </c>
    </row>
    <row r="33" spans="1:14" x14ac:dyDescent="0.3">
      <c r="E33" s="6" t="s">
        <v>71</v>
      </c>
      <c r="F33" s="1">
        <v>19</v>
      </c>
      <c r="J33" s="6" t="s">
        <v>70</v>
      </c>
      <c r="K33" s="4">
        <v>36.470588235294116</v>
      </c>
      <c r="M33" s="6" t="s">
        <v>70</v>
      </c>
      <c r="N33" s="4">
        <v>3.5</v>
      </c>
    </row>
    <row r="34" spans="1:14" x14ac:dyDescent="0.3">
      <c r="E34" s="6" t="s">
        <v>72</v>
      </c>
      <c r="F34" s="1">
        <v>17</v>
      </c>
      <c r="J34" s="6" t="s">
        <v>71</v>
      </c>
      <c r="K34" s="4">
        <v>37.210526315789473</v>
      </c>
      <c r="M34" s="6" t="s">
        <v>71</v>
      </c>
      <c r="N34" s="4">
        <v>6</v>
      </c>
    </row>
    <row r="35" spans="1:14" x14ac:dyDescent="0.3">
      <c r="E35" s="6" t="s">
        <v>73</v>
      </c>
      <c r="F35" s="1">
        <v>22</v>
      </c>
      <c r="J35" s="6" t="s">
        <v>72</v>
      </c>
      <c r="K35" s="4">
        <v>36.294117647058826</v>
      </c>
      <c r="M35" s="6" t="s">
        <v>72</v>
      </c>
      <c r="N35" s="4">
        <v>5.1428571428571432</v>
      </c>
    </row>
    <row r="36" spans="1:14" x14ac:dyDescent="0.3">
      <c r="E36" s="6" t="s">
        <v>74</v>
      </c>
      <c r="F36" s="1">
        <v>9</v>
      </c>
      <c r="J36" s="6" t="s">
        <v>73</v>
      </c>
      <c r="K36" s="4">
        <v>32</v>
      </c>
      <c r="M36" s="6" t="s">
        <v>73</v>
      </c>
      <c r="N36" s="4">
        <v>4</v>
      </c>
    </row>
    <row r="37" spans="1:14" x14ac:dyDescent="0.3">
      <c r="E37" s="6" t="s">
        <v>75</v>
      </c>
      <c r="F37" s="1">
        <v>9</v>
      </c>
      <c r="J37" s="6" t="s">
        <v>74</v>
      </c>
      <c r="K37" s="4">
        <v>41.444444444444443</v>
      </c>
      <c r="M37" s="6" t="s">
        <v>74</v>
      </c>
      <c r="N37" s="4">
        <v>3.5</v>
      </c>
    </row>
    <row r="38" spans="1:14" x14ac:dyDescent="0.3">
      <c r="E38" s="6" t="s">
        <v>43</v>
      </c>
      <c r="F38" s="1">
        <v>494</v>
      </c>
      <c r="J38" s="6" t="s">
        <v>75</v>
      </c>
      <c r="K38" s="4">
        <v>40.444444444444443</v>
      </c>
      <c r="M38" s="6" t="s">
        <v>75</v>
      </c>
      <c r="N38" s="4">
        <v>5</v>
      </c>
    </row>
    <row r="39" spans="1:14" x14ac:dyDescent="0.3">
      <c r="J39" s="6" t="s">
        <v>43</v>
      </c>
      <c r="K39" s="1">
        <v>36.392712550607285</v>
      </c>
      <c r="M39" s="6" t="s">
        <v>43</v>
      </c>
      <c r="N39" s="1">
        <v>5.0629921259842519</v>
      </c>
    </row>
    <row r="41" spans="1:14" x14ac:dyDescent="0.3">
      <c r="A41" s="2" t="s">
        <v>42</v>
      </c>
      <c r="B41" t="s">
        <v>118</v>
      </c>
      <c r="C41" t="s">
        <v>120</v>
      </c>
      <c r="L41" s="2"/>
    </row>
    <row r="42" spans="1:14" x14ac:dyDescent="0.3">
      <c r="A42" s="6" t="s">
        <v>19</v>
      </c>
      <c r="B42" s="8">
        <v>234</v>
      </c>
      <c r="C42" s="9">
        <v>0.47368421052631576</v>
      </c>
    </row>
    <row r="43" spans="1:14" x14ac:dyDescent="0.3">
      <c r="A43" s="6" t="s">
        <v>36</v>
      </c>
      <c r="B43" s="4">
        <v>260</v>
      </c>
      <c r="C43" s="9">
        <v>0.52631578947368418</v>
      </c>
    </row>
    <row r="44" spans="1:14" x14ac:dyDescent="0.3">
      <c r="A44" s="6" t="s">
        <v>43</v>
      </c>
      <c r="B44" s="4">
        <v>494</v>
      </c>
      <c r="C44" s="9">
        <v>1</v>
      </c>
    </row>
    <row r="48" spans="1:14" x14ac:dyDescent="0.3">
      <c r="A48" s="12" t="s">
        <v>121</v>
      </c>
      <c r="B48" s="12" t="s">
        <v>123</v>
      </c>
      <c r="C48" s="12" t="s">
        <v>122</v>
      </c>
      <c r="D48" s="13"/>
    </row>
    <row r="49" spans="1:3" x14ac:dyDescent="0.3">
      <c r="A49" s="11" t="str">
        <f>A43</f>
        <v>Not Admitted</v>
      </c>
      <c r="B49" s="11">
        <f>GETPIVOTDATA("[Measures].[Count of Patient Admission Flag]",$A$41,"[Hospital Emergency Room Data].[Patient Admission Flag]","[Hospital Emergency Room Data].[Patient Admission Flag].&amp;[Not Admitted]")</f>
        <v>260</v>
      </c>
      <c r="C49" s="10">
        <f>GETPIVOTDATA("[__Xl2].[Measures].[Count of Patient Admission Flag]",$A$41,"[Hospital Emergency Room Data].[Patient Admission Flag]","[Hospital Emergency Room Data].[Patient Admission Flag].&amp;[Not Admitted]")</f>
        <v>0.52631578947368418</v>
      </c>
    </row>
    <row r="50" spans="1:3" x14ac:dyDescent="0.3">
      <c r="A50" s="11" t="str">
        <f>A42</f>
        <v>Admitted</v>
      </c>
      <c r="B50" s="11">
        <f>GETPIVOTDATA("[Measures].[Count of Patient Admission Flag]",$A$41,"[Hospital Emergency Room Data].[Patient Admission Flag]","[Hospital Emergency Room Data].[Patient Admission Flag].&amp;[Admitted]")</f>
        <v>234</v>
      </c>
      <c r="C50" s="10">
        <f>GETPIVOTDATA("[__Xl2].[Measures].[Count of Patient Admission Flag]",$A$41,"[Hospital Emergency Room Data].[Patient Admission Flag]","[Hospital Emergency Room Data].[Patient Admission Flag].&amp;[Admitted]")</f>
        <v>0.47368421052631576</v>
      </c>
    </row>
    <row r="52" spans="1:3" x14ac:dyDescent="0.3">
      <c r="A52" t="s">
        <v>125</v>
      </c>
    </row>
    <row r="53" spans="1:3" x14ac:dyDescent="0.3">
      <c r="A53" s="2" t="s">
        <v>42</v>
      </c>
      <c r="B53" t="s">
        <v>124</v>
      </c>
    </row>
    <row r="54" spans="1:3" x14ac:dyDescent="0.3">
      <c r="A54" s="6" t="s">
        <v>27</v>
      </c>
      <c r="B54" s="8">
        <v>70</v>
      </c>
    </row>
    <row r="55" spans="1:3" x14ac:dyDescent="0.3">
      <c r="A55" s="6" t="s">
        <v>22</v>
      </c>
      <c r="B55" s="8">
        <v>73</v>
      </c>
    </row>
    <row r="56" spans="1:3" x14ac:dyDescent="0.3">
      <c r="A56" s="6" t="s">
        <v>28</v>
      </c>
      <c r="B56" s="8">
        <v>58</v>
      </c>
    </row>
    <row r="57" spans="1:3" x14ac:dyDescent="0.3">
      <c r="A57" s="6" t="s">
        <v>29</v>
      </c>
      <c r="B57" s="8">
        <v>73</v>
      </c>
    </row>
    <row r="58" spans="1:3" x14ac:dyDescent="0.3">
      <c r="A58" s="6" t="s">
        <v>25</v>
      </c>
      <c r="B58" s="8">
        <v>55</v>
      </c>
    </row>
    <row r="59" spans="1:3" x14ac:dyDescent="0.3">
      <c r="A59" s="6" t="s">
        <v>26</v>
      </c>
      <c r="B59" s="8">
        <v>51</v>
      </c>
    </row>
    <row r="60" spans="1:3" x14ac:dyDescent="0.3">
      <c r="A60" s="6" t="s">
        <v>20</v>
      </c>
      <c r="B60" s="8">
        <v>67</v>
      </c>
    </row>
    <row r="61" spans="1:3" x14ac:dyDescent="0.3">
      <c r="A61" s="6" t="s">
        <v>24</v>
      </c>
      <c r="B61" s="8">
        <v>47</v>
      </c>
    </row>
    <row r="62" spans="1:3" x14ac:dyDescent="0.3">
      <c r="A62" s="6" t="s">
        <v>43</v>
      </c>
      <c r="B62" s="8">
        <v>494</v>
      </c>
    </row>
    <row r="64" spans="1:3" x14ac:dyDescent="0.3">
      <c r="A64" s="6" t="s">
        <v>126</v>
      </c>
    </row>
    <row r="65" spans="1:3" x14ac:dyDescent="0.3">
      <c r="A65" s="2" t="s">
        <v>42</v>
      </c>
      <c r="B65" t="s">
        <v>119</v>
      </c>
    </row>
    <row r="66" spans="1:3" x14ac:dyDescent="0.3">
      <c r="A66" s="6" t="s">
        <v>23</v>
      </c>
      <c r="B66" s="8">
        <v>307</v>
      </c>
    </row>
    <row r="67" spans="1:3" x14ac:dyDescent="0.3">
      <c r="A67" s="6" t="s">
        <v>21</v>
      </c>
      <c r="B67" s="8">
        <v>187</v>
      </c>
    </row>
    <row r="68" spans="1:3" x14ac:dyDescent="0.3">
      <c r="A68" s="6" t="s">
        <v>43</v>
      </c>
      <c r="B68" s="8">
        <v>494</v>
      </c>
    </row>
    <row r="71" spans="1:3" x14ac:dyDescent="0.3">
      <c r="A71" s="2" t="s">
        <v>42</v>
      </c>
      <c r="B71" t="s">
        <v>127</v>
      </c>
      <c r="C71" s="2"/>
    </row>
    <row r="72" spans="1:3" x14ac:dyDescent="0.3">
      <c r="A72" s="6" t="s">
        <v>32</v>
      </c>
      <c r="B72" s="8">
        <v>241</v>
      </c>
    </row>
    <row r="73" spans="1:3" x14ac:dyDescent="0.3">
      <c r="A73" s="6" t="s">
        <v>16</v>
      </c>
      <c r="B73" s="8">
        <v>253</v>
      </c>
    </row>
    <row r="74" spans="1:3" x14ac:dyDescent="0.3">
      <c r="A74" s="6" t="s">
        <v>43</v>
      </c>
      <c r="B74" s="8">
        <v>494</v>
      </c>
    </row>
    <row r="78" spans="1:3" x14ac:dyDescent="0.3">
      <c r="A78" s="2" t="s">
        <v>42</v>
      </c>
      <c r="B78" t="s">
        <v>132</v>
      </c>
    </row>
    <row r="79" spans="1:3" x14ac:dyDescent="0.3">
      <c r="A79" s="6" t="s">
        <v>131</v>
      </c>
      <c r="B79" s="8">
        <v>6</v>
      </c>
    </row>
    <row r="80" spans="1:3" x14ac:dyDescent="0.3">
      <c r="A80" s="6" t="s">
        <v>101</v>
      </c>
      <c r="B80" s="8">
        <v>8</v>
      </c>
    </row>
    <row r="81" spans="1:2" x14ac:dyDescent="0.3">
      <c r="A81" s="6" t="s">
        <v>129</v>
      </c>
      <c r="B81" s="8">
        <v>8</v>
      </c>
    </row>
    <row r="82" spans="1:2" x14ac:dyDescent="0.3">
      <c r="A82" s="6" t="s">
        <v>130</v>
      </c>
      <c r="B82" s="8">
        <v>11</v>
      </c>
    </row>
    <row r="83" spans="1:2" x14ac:dyDescent="0.3">
      <c r="A83" s="6" t="s">
        <v>128</v>
      </c>
      <c r="B83" s="8">
        <v>17</v>
      </c>
    </row>
    <row r="84" spans="1:2" x14ac:dyDescent="0.3">
      <c r="A84" s="6" t="s">
        <v>97</v>
      </c>
      <c r="B84" s="8">
        <v>49</v>
      </c>
    </row>
    <row r="85" spans="1:2" x14ac:dyDescent="0.3">
      <c r="A85" s="6" t="s">
        <v>90</v>
      </c>
      <c r="B85" s="8">
        <v>92</v>
      </c>
    </row>
    <row r="86" spans="1:2" x14ac:dyDescent="0.3">
      <c r="A86" s="6" t="s">
        <v>18</v>
      </c>
      <c r="B86" s="8">
        <v>303</v>
      </c>
    </row>
    <row r="87" spans="1:2" x14ac:dyDescent="0.3">
      <c r="A87" s="6" t="s">
        <v>43</v>
      </c>
      <c r="B87" s="8">
        <v>494</v>
      </c>
    </row>
    <row r="90" spans="1:2" x14ac:dyDescent="0.3">
      <c r="A90" s="2" t="s">
        <v>42</v>
      </c>
    </row>
    <row r="91" spans="1:2" x14ac:dyDescent="0.3">
      <c r="A91" s="6" t="s">
        <v>44</v>
      </c>
    </row>
    <row r="92" spans="1:2" x14ac:dyDescent="0.3">
      <c r="A92" s="6" t="s">
        <v>43</v>
      </c>
    </row>
  </sheetData>
  <pageMargins left="0.7" right="0.7" top="0.75" bottom="0.75" header="0.3" footer="0.3"/>
  <pageSetup orientation="portrait" r:id="rId1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955E-AD84-433C-B594-71243927976B}">
  <dimension ref="A1:W31"/>
  <sheetViews>
    <sheetView zoomScale="73"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E35FAF9-D5D2-4E8D-85E7-91129BAC8D9B}">
  <ds:schemaRefs/>
</ds:datastoreItem>
</file>

<file path=customXml/itemProps2.xml><?xml version="1.0" encoding="utf-8"?>
<ds:datastoreItem xmlns:ds="http://schemas.openxmlformats.org/officeDocument/2006/customXml" ds:itemID="{54DCE94B-2695-4F28-9B61-9C6FAB556080}">
  <ds:schemaRefs/>
</ds:datastoreItem>
</file>

<file path=customXml/itemProps3.xml><?xml version="1.0" encoding="utf-8"?>
<ds:datastoreItem xmlns:ds="http://schemas.openxmlformats.org/officeDocument/2006/customXml" ds:itemID="{2DCAFB11-1899-49AB-A419-CDD19BD0DA93}">
  <ds:schemaRefs/>
</ds:datastoreItem>
</file>

<file path=customXml/itemProps4.xml><?xml version="1.0" encoding="utf-8"?>
<ds:datastoreItem xmlns:ds="http://schemas.openxmlformats.org/officeDocument/2006/customXml" ds:itemID="{ADA6BD0B-C0BB-46C7-B71A-6B6C8B35246C}">
  <ds:schemaRefs/>
</ds:datastoreItem>
</file>

<file path=customXml/itemProps5.xml><?xml version="1.0" encoding="utf-8"?>
<ds:datastoreItem xmlns:ds="http://schemas.openxmlformats.org/officeDocument/2006/customXml" ds:itemID="{C9435857-2636-473B-949C-A4338482485B}">
  <ds:schemaRefs/>
</ds:datastoreItem>
</file>

<file path=customXml/itemProps6.xml><?xml version="1.0" encoding="utf-8"?>
<ds:datastoreItem xmlns:ds="http://schemas.openxmlformats.org/officeDocument/2006/customXml" ds:itemID="{3865BD52-C5E2-4B4B-B940-2B10C103CD55}">
  <ds:schemaRefs/>
</ds:datastoreItem>
</file>

<file path=customXml/itemProps7.xml><?xml version="1.0" encoding="utf-8"?>
<ds:datastoreItem xmlns:ds="http://schemas.openxmlformats.org/officeDocument/2006/customXml" ds:itemID="{D8AE0872-5620-451A-8152-C270ED41C93F}">
  <ds:schemaRefs/>
</ds:datastoreItem>
</file>

<file path=customXml/itemProps8.xml><?xml version="1.0" encoding="utf-8"?>
<ds:datastoreItem xmlns:ds="http://schemas.openxmlformats.org/officeDocument/2006/customXml" ds:itemID="{00C12FE2-0925-4ACA-9C72-85C8FF774C66}">
  <ds:schemaRefs/>
</ds:datastoreItem>
</file>

<file path=customXml/itemProps9.xml><?xml version="1.0" encoding="utf-8"?>
<ds:datastoreItem xmlns:ds="http://schemas.openxmlformats.org/officeDocument/2006/customXml" ds:itemID="{5FEBB100-E98B-448F-9E86-2F79E7FAF563}">
  <ds:schemaRefs/>
</ds:datastoreItem>
</file>

<file path=customXml/itemProps10.xml><?xml version="1.0" encoding="utf-8"?>
<ds:datastoreItem xmlns:ds="http://schemas.openxmlformats.org/officeDocument/2006/customXml" ds:itemID="{E26894DE-F1BB-4B6D-9A54-31A94AA8A60E}">
  <ds:schemaRefs/>
</ds:datastoreItem>
</file>

<file path=customXml/itemProps11.xml><?xml version="1.0" encoding="utf-8"?>
<ds:datastoreItem xmlns:ds="http://schemas.openxmlformats.org/officeDocument/2006/customXml" ds:itemID="{F1C42199-EC69-4CCB-A860-286C94623494}">
  <ds:schemaRefs/>
</ds:datastoreItem>
</file>

<file path=customXml/itemProps12.xml><?xml version="1.0" encoding="utf-8"?>
<ds:datastoreItem xmlns:ds="http://schemas.openxmlformats.org/officeDocument/2006/customXml" ds:itemID="{AA098559-B1A6-4997-BE52-D3EBE089E558}">
  <ds:schemaRefs/>
</ds:datastoreItem>
</file>

<file path=customXml/itemProps13.xml><?xml version="1.0" encoding="utf-8"?>
<ds:datastoreItem xmlns:ds="http://schemas.openxmlformats.org/officeDocument/2006/customXml" ds:itemID="{2E74D7CB-674A-419C-82C1-0D3CED161796}">
  <ds:schemaRefs/>
</ds:datastoreItem>
</file>

<file path=customXml/itemProps14.xml><?xml version="1.0" encoding="utf-8"?>
<ds:datastoreItem xmlns:ds="http://schemas.openxmlformats.org/officeDocument/2006/customXml" ds:itemID="{CE81E955-808B-4D7C-9167-69386B26F8B6}">
  <ds:schemaRefs/>
</ds:datastoreItem>
</file>

<file path=customXml/itemProps15.xml><?xml version="1.0" encoding="utf-8"?>
<ds:datastoreItem xmlns:ds="http://schemas.openxmlformats.org/officeDocument/2006/customXml" ds:itemID="{FAE08828-B999-4A1D-866E-5D29A67AB712}">
  <ds:schemaRefs/>
</ds:datastoreItem>
</file>

<file path=customXml/itemProps16.xml><?xml version="1.0" encoding="utf-8"?>
<ds:datastoreItem xmlns:ds="http://schemas.openxmlformats.org/officeDocument/2006/customXml" ds:itemID="{1A507637-D0E6-4D33-97B8-662F1BADE0C7}">
  <ds:schemaRefs/>
</ds:datastoreItem>
</file>

<file path=customXml/itemProps17.xml><?xml version="1.0" encoding="utf-8"?>
<ds:datastoreItem xmlns:ds="http://schemas.openxmlformats.org/officeDocument/2006/customXml" ds:itemID="{629BFF49-21AE-4860-B126-BFE2A78B452B}">
  <ds:schemaRefs/>
</ds:datastoreItem>
</file>

<file path=customXml/itemProps18.xml><?xml version="1.0" encoding="utf-8"?>
<ds:datastoreItem xmlns:ds="http://schemas.openxmlformats.org/officeDocument/2006/customXml" ds:itemID="{2EEA40C3-B52C-4280-B358-53749DB148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 ER No of Patient</vt:lpstr>
      <vt:lpstr>Average Wait Time Daily Trend</vt:lpstr>
      <vt:lpstr>Dashboard</vt:lpstr>
      <vt:lpstr>Sheet2</vt:lpstr>
      <vt:lpstr> Pivot Report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2025-11-06T12:30:35Z</dcterms:created>
  <dcterms:modified xsi:type="dcterms:W3CDTF">2025-11-07T14:27:13Z</dcterms:modified>
</cp:coreProperties>
</file>